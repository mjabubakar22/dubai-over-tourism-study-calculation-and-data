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DX Modules\Applied project\"/>
    </mc:Choice>
  </mc:AlternateContent>
  <xr:revisionPtr revIDLastSave="0" documentId="13_ncr:1_{B6AB0CD7-9152-47ED-8116-983A1B509B49}" xr6:coauthVersionLast="47" xr6:coauthVersionMax="47" xr10:uidLastSave="{00000000-0000-0000-0000-000000000000}"/>
  <bookViews>
    <workbookView xWindow="-120" yWindow="-120" windowWidth="29040" windowHeight="17520" activeTab="2" xr2:uid="{DD7FC294-03E5-4BB7-899A-A13AC9F847E4}"/>
  </bookViews>
  <sheets>
    <sheet name="Overnight Visitors" sheetId="2" r:id="rId1"/>
    <sheet name="Population" sheetId="3" r:id="rId2"/>
    <sheet name="Rental Performance Index" sheetId="8" r:id="rId3"/>
    <sheet name="Original CPI (Raw)" sheetId="11" r:id="rId4"/>
  </sheets>
  <definedNames>
    <definedName name="_xlnm._FilterDatabase" localSheetId="3" hidden="1">'Original CPI (Raw)'!$A$3:$Q$147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11" l="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B146" i="8"/>
  <c r="D2" i="3"/>
  <c r="D12" i="3"/>
  <c r="D4" i="3"/>
  <c r="D5" i="3"/>
  <c r="D6" i="3"/>
  <c r="D7" i="3"/>
  <c r="D8" i="3"/>
  <c r="D9" i="3"/>
  <c r="D10" i="3"/>
  <c r="D11" i="3"/>
  <c r="D3" i="3"/>
  <c r="A4" i="3"/>
  <c r="A5" i="3" s="1"/>
  <c r="A6" i="3" s="1"/>
  <c r="A7" i="3" s="1"/>
  <c r="A8" i="3" s="1"/>
  <c r="A9" i="3" s="1"/>
  <c r="A10" i="3" s="1"/>
  <c r="A11" i="3" s="1"/>
  <c r="A12" i="3" s="1"/>
</calcChain>
</file>

<file path=xl/sharedStrings.xml><?xml version="1.0" encoding="utf-8"?>
<sst xmlns="http://schemas.openxmlformats.org/spreadsheetml/2006/main" count="316" uniqueCount="174">
  <si>
    <t>Date</t>
  </si>
  <si>
    <t>Year</t>
  </si>
  <si>
    <t>Emirati</t>
  </si>
  <si>
    <t>Non-Emirati</t>
  </si>
  <si>
    <t>Overnight Visitors In Mlns</t>
  </si>
  <si>
    <t>Total Residents</t>
  </si>
  <si>
    <t>Transport</t>
  </si>
  <si>
    <t>Tobacco</t>
  </si>
  <si>
    <t>Health</t>
  </si>
  <si>
    <t>Education</t>
  </si>
  <si>
    <t>DateTime</t>
  </si>
  <si>
    <t>Rental Performance Index</t>
  </si>
  <si>
    <t>https://dubailand.gov.ae/en/open-data/residential-rental-performance-index/#/</t>
  </si>
  <si>
    <t>https://www.propertyfinder.ae/en/insightshub/moasher/2024-monthly-november-240</t>
  </si>
  <si>
    <t>General Index</t>
  </si>
  <si>
    <t>Food and beverages</t>
  </si>
  <si>
    <t>Clothing and footwear</t>
  </si>
  <si>
    <t>Housing, water, electricity, gas and other fuels</t>
  </si>
  <si>
    <t>Furnishings, household equipment and maintenance</t>
  </si>
  <si>
    <t>Communication / Info &amp; communication</t>
  </si>
  <si>
    <t>Recreation, sport and culture</t>
  </si>
  <si>
    <t>Restaurants and hotels / accommodation</t>
  </si>
  <si>
    <t>Insurance and financial services</t>
  </si>
  <si>
    <t>Personal care, social protection &amp; misc. goods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</si>
  <si>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</si>
  <si>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</si>
  <si>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</si>
  <si>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</si>
  <si>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</si>
  <si>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</si>
  <si>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</si>
  <si>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</si>
  <si>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</si>
  <si>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</si>
  <si>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</si>
  <si>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</si>
  <si>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</si>
  <si>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</si>
  <si>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</si>
  <si>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</si>
  <si>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</si>
  <si>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</si>
  <si>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</si>
  <si>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</si>
  <si>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</si>
  <si>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</si>
  <si>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</si>
  <si>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</si>
  <si>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</si>
  <si>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</si>
  <si>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</si>
  <si>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</si>
  <si>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</si>
  <si>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</si>
  <si>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</si>
  <si>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</si>
  <si>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</si>
  <si>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</si>
  <si>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</si>
  <si>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</si>
  <si>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</si>
  <si>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</si>
  <si>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</si>
  <si>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</si>
  <si>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</si>
  <si>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</si>
  <si>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</si>
  <si>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</si>
  <si>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</si>
  <si>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</si>
  <si>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</si>
  <si>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</si>
  <si>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</si>
  <si>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</si>
  <si>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</si>
  <si>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</si>
  <si>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</si>
  <si>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</si>
  <si>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</si>
  <si>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</si>
  <si>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</si>
  <si>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</si>
  <si>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</si>
  <si>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</si>
  <si>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</si>
  <si>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</si>
  <si>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</si>
  <si>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</si>
  <si>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</si>
  <si>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</si>
  <si>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</si>
  <si>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</si>
  <si>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</si>
  <si>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</si>
  <si>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</si>
  <si>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</si>
  <si>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</si>
  <si>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</si>
  <si>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</si>
  <si>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</si>
  <si>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</si>
  <si>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</si>
  <si>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</si>
  <si>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</si>
  <si>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</si>
  <si>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</si>
  <si>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</si>
  <si>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</si>
  <si>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</si>
  <si>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</si>
  <si>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</si>
  <si>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</si>
  <si>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</si>
  <si>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</si>
  <si>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</si>
  <si>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</si>
  <si>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</si>
  <si>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</si>
  <si>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</si>
  <si>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</si>
  <si>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</si>
  <si>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</si>
  <si>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</si>
  <si>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</si>
  <si>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</si>
  <si>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</si>
  <si>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</si>
  <si>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</si>
  <si>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</si>
  <si>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</si>
  <si>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</si>
  <si>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</si>
  <si>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</si>
  <si>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</si>
  <si>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</si>
  <si>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</si>
  <si>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</si>
  <si>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</si>
  <si>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</si>
  <si>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</si>
  <si>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</si>
  <si>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</si>
  <si>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</si>
  <si>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</si>
  <si>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</si>
  <si>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</si>
  <si>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</si>
  <si>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</si>
  <si>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</si>
  <si>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</si>
  <si>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</si>
  <si>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</si>
  <si>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</si>
  <si>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</si>
  <si>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</si>
  <si>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</si>
  <si>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</si>
  <si>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</si>
  <si>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</si>
  <si>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</si>
  <si>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</si>
  <si>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</si>
  <si>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</si>
  <si>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</si>
  <si>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</si>
  <si>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</si>
  <si>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</si>
  <si>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</si>
  <si>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Dubai CPI – Original Data (Three Base Years)  |  Jan 2014 – Dec 2025  |  Colour coded by base year</t>
  </si>
  <si>
    <t xml:space="preserve">  ■ Red = 2014 data (base 2007=100)   ■ Blue = 2015–2021 data (base 2014=100)   ■ Green = 2022–2025 data (base 2021=100)   ★ Gold = series boundary months</t>
  </si>
  <si>
    <t>Base Year</t>
  </si>
  <si>
    <t>2007=100</t>
  </si>
  <si>
    <t>2014=100</t>
  </si>
  <si>
    <t>2021=100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</si>
</sst>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9"/>
      <color rgb="FF404040"/>
      <name val="Arial"/>
      <family val="2"/>
    </font>
    <font>
      <b/>
      <sz val="9"/>
      <color theme="0"/>
      <name val="Arial"/>
      <family val="2"/>
    </font>
    <font>
      <i/>
      <sz val="8"/>
      <name val="Arial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0EB"/>
      </patternFill>
    </fill>
    <fill>
      <patternFill patternType="solid">
        <fgColor rgb="FFC9A227"/>
      </patternFill>
    </fill>
    <fill>
      <patternFill patternType="solid">
        <fgColor rgb="FFFFF2CC"/>
      </patternFill>
    </fill>
    <fill>
      <patternFill patternType="solid">
        <fgColor rgb="FFC0392B"/>
      </patternFill>
    </fill>
    <fill>
      <patternFill patternType="solid">
        <fgColor rgb="FFFCE4D6"/>
      </patternFill>
    </fill>
    <fill>
      <patternFill patternType="solid">
        <fgColor rgb="FF1E8449"/>
      </patternFill>
    </fill>
    <fill>
      <patternFill patternType="solid">
        <fgColor rgb="FFF0F7E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17" fontId="3" fillId="2" borderId="0" xfId="0" applyNumberFormat="1" applyFont="1" applyFill="1"/>
    <xf numFmtId="0" fontId="2" fillId="0" borderId="0" xfId="0" applyFont="1" applyAlignment="1">
      <alignment horizontal="center" vertical="center" wrapText="1"/>
    </xf>
    <xf numFmtId="43" fontId="0" fillId="0" borderId="0" xfId="0" applyNumberFormat="1"/>
    <xf numFmtId="2" fontId="0" fillId="0" borderId="0" xfId="0" applyNumberFormat="1"/>
    <xf numFmtId="0" fontId="0" fillId="0" borderId="0" xfId="0" applyAlignment="1">
      <alignment horizontal="right" vertical="center" wrapText="1"/>
    </xf>
    <xf numFmtId="165" fontId="0" fillId="0" borderId="0" xfId="1" applyNumberFormat="1" applyFont="1"/>
    <xf numFmtId="3" fontId="0" fillId="0" borderId="0" xfId="0" applyNumberFormat="1"/>
    <xf numFmtId="165" fontId="0" fillId="0" borderId="0" xfId="0" applyNumberFormat="1"/>
    <xf numFmtId="22" fontId="0" fillId="0" borderId="0" xfId="0" applyNumberFormat="1"/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2" fontId="7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2" fontId="7" fillId="7" borderId="0" xfId="0" applyNumberFormat="1" applyFont="1" applyFill="1" applyAlignment="1">
      <alignment horizontal="center" vertical="center"/>
    </xf>
    <xf numFmtId="10" fontId="7" fillId="8" borderId="0" xfId="2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2" fontId="7" fillId="10" borderId="0" xfId="0" applyNumberFormat="1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7" fillId="12" borderId="0" xfId="0" applyNumberFormat="1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2" fontId="7" fillId="8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2" fontId="7" fillId="14" borderId="0" xfId="0" applyNumberFormat="1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2" fontId="7" fillId="15" borderId="0" xfId="0" applyNumberFormat="1" applyFont="1" applyFill="1" applyAlignment="1">
      <alignment horizontal="center" vertical="center"/>
    </xf>
    <xf numFmtId="0" fontId="11" fillId="0" borderId="0" xfId="0" applyFont="1"/>
    <xf numFmtId="0" fontId="12" fillId="0" borderId="0" xfId="3"/>
    <xf numFmtId="0" fontId="4" fillId="4" borderId="0" xfId="0" applyFont="1" applyFill="1" applyAlignment="1">
      <alignment horizontal="center" vertical="center"/>
    </xf>
    <xf numFmtId="0" fontId="0" fillId="0" borderId="0" xfId="0"/>
    <xf numFmtId="0" fontId="8" fillId="3" borderId="0" xfId="0" applyFont="1" applyFill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0C8B3F-0B5C-499A-8902-F4FD19A65A08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ubailand.gov.ae/en/open-data/residential-rental-performance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F53C-6550-450A-AA06-213424603DF4}">
  <dimension ref="A1:B145"/>
  <sheetViews>
    <sheetView zoomScaleNormal="100" workbookViewId="0">
      <selection activeCell="C2" sqref="C2"/>
    </sheetView>
  </sheetViews>
  <sheetFormatPr defaultRowHeight="15" x14ac:dyDescent="0.25"/>
  <cols>
    <col min="1" max="1" width="8" style="1" bestFit="1" customWidth="1"/>
    <col min="2" max="2" width="11.85546875" customWidth="1"/>
  </cols>
  <sheetData>
    <row r="1" spans="1:2" ht="45" x14ac:dyDescent="0.25">
      <c r="A1" s="1" t="s">
        <v>0</v>
      </c>
      <c r="B1" s="2" t="s">
        <v>4</v>
      </c>
    </row>
    <row r="2" spans="1:2" x14ac:dyDescent="0.25">
      <c r="A2" s="1">
        <v>41640</v>
      </c>
      <c r="B2" s="3">
        <v>1.24651342952162</v>
      </c>
    </row>
    <row r="3" spans="1:2" x14ac:dyDescent="0.25">
      <c r="A3" s="1">
        <v>41671</v>
      </c>
      <c r="B3" s="3">
        <v>1.1574554486394102</v>
      </c>
    </row>
    <row r="4" spans="1:2" x14ac:dyDescent="0.25">
      <c r="A4" s="1">
        <v>41699</v>
      </c>
      <c r="B4" s="3">
        <v>1.2109563883848</v>
      </c>
    </row>
    <row r="5" spans="1:2" x14ac:dyDescent="0.25">
      <c r="A5" s="1">
        <v>41730</v>
      </c>
      <c r="B5" s="3">
        <v>1.16598203418701</v>
      </c>
    </row>
    <row r="6" spans="1:2" x14ac:dyDescent="0.25">
      <c r="A6" s="1">
        <v>41760</v>
      </c>
      <c r="B6" s="3">
        <v>1.0602299733996601</v>
      </c>
    </row>
    <row r="7" spans="1:2" x14ac:dyDescent="0.25">
      <c r="A7" s="1">
        <v>41791</v>
      </c>
      <c r="B7" s="3">
        <v>0.98206369666695592</v>
      </c>
    </row>
    <row r="8" spans="1:2" x14ac:dyDescent="0.25">
      <c r="A8" s="1">
        <v>41821</v>
      </c>
      <c r="B8" s="3">
        <v>0.70535433723614005</v>
      </c>
    </row>
    <row r="9" spans="1:2" x14ac:dyDescent="0.25">
      <c r="A9" s="1">
        <v>41852</v>
      </c>
      <c r="B9" s="3">
        <v>1.0619667423371399</v>
      </c>
    </row>
    <row r="10" spans="1:2" x14ac:dyDescent="0.25">
      <c r="A10" s="1">
        <v>41883</v>
      </c>
      <c r="B10" s="3">
        <v>1.00783449529889</v>
      </c>
    </row>
    <row r="11" spans="1:2" x14ac:dyDescent="0.25">
      <c r="A11" s="1">
        <v>41913</v>
      </c>
      <c r="B11" s="3">
        <v>1.1658612412048102</v>
      </c>
    </row>
    <row r="12" spans="1:2" x14ac:dyDescent="0.25">
      <c r="A12" s="1">
        <v>41944</v>
      </c>
      <c r="B12" s="3">
        <v>1.1261885916495</v>
      </c>
    </row>
    <row r="13" spans="1:2" x14ac:dyDescent="0.25">
      <c r="A13" s="1">
        <v>41974</v>
      </c>
      <c r="B13" s="3">
        <v>1.3190904781710899</v>
      </c>
    </row>
    <row r="14" spans="1:2" x14ac:dyDescent="0.25">
      <c r="A14" s="1">
        <v>42005</v>
      </c>
      <c r="B14" s="3">
        <v>1.35924966084331</v>
      </c>
    </row>
    <row r="15" spans="1:2" x14ac:dyDescent="0.25">
      <c r="A15" s="1">
        <v>42036</v>
      </c>
      <c r="B15" s="3">
        <v>1.2287673870623601</v>
      </c>
    </row>
    <row r="16" spans="1:2" x14ac:dyDescent="0.25">
      <c r="A16" s="1">
        <v>42064</v>
      </c>
      <c r="B16" s="3">
        <v>1.3149733646314701</v>
      </c>
    </row>
    <row r="17" spans="1:2" x14ac:dyDescent="0.25">
      <c r="A17" s="1">
        <v>42095</v>
      </c>
      <c r="B17" s="3">
        <v>1.2193717024733202</v>
      </c>
    </row>
    <row r="18" spans="1:2" x14ac:dyDescent="0.25">
      <c r="A18" s="1">
        <v>42125</v>
      </c>
      <c r="B18" s="3">
        <v>1.1953872449429201</v>
      </c>
    </row>
    <row r="19" spans="1:2" x14ac:dyDescent="0.25">
      <c r="A19" s="1">
        <v>42156</v>
      </c>
      <c r="B19" s="3">
        <v>0.93124449263772902</v>
      </c>
    </row>
    <row r="20" spans="1:2" x14ac:dyDescent="0.25">
      <c r="A20" s="1">
        <v>42186</v>
      </c>
      <c r="B20" s="3">
        <v>0.98488970865432202</v>
      </c>
    </row>
    <row r="21" spans="1:2" x14ac:dyDescent="0.25">
      <c r="A21" s="1">
        <v>42217</v>
      </c>
      <c r="B21" s="3">
        <v>1.15086894440083</v>
      </c>
    </row>
    <row r="22" spans="1:2" x14ac:dyDescent="0.25">
      <c r="A22" s="1">
        <v>42248</v>
      </c>
      <c r="B22" s="3">
        <v>1.1331375742994201</v>
      </c>
    </row>
    <row r="23" spans="1:2" x14ac:dyDescent="0.25">
      <c r="A23" s="1">
        <v>42278</v>
      </c>
      <c r="B23" s="3">
        <v>1.1814322078011799</v>
      </c>
    </row>
    <row r="24" spans="1:2" x14ac:dyDescent="0.25">
      <c r="A24" s="1">
        <v>42309</v>
      </c>
      <c r="B24" s="3">
        <v>1.1448785076227501</v>
      </c>
    </row>
    <row r="25" spans="1:2" x14ac:dyDescent="0.25">
      <c r="A25" s="1">
        <v>42339</v>
      </c>
      <c r="B25" s="3">
        <v>1.3585933373872701</v>
      </c>
    </row>
    <row r="26" spans="1:2" x14ac:dyDescent="0.25">
      <c r="A26" s="1">
        <v>42370</v>
      </c>
      <c r="B26" s="3">
        <v>1.40541722221655</v>
      </c>
    </row>
    <row r="27" spans="1:2" x14ac:dyDescent="0.25">
      <c r="A27" s="1">
        <v>42401</v>
      </c>
      <c r="B27" s="3">
        <v>1.2782854149806</v>
      </c>
    </row>
    <row r="28" spans="1:2" x14ac:dyDescent="0.25">
      <c r="A28" s="1">
        <v>42430</v>
      </c>
      <c r="B28" s="3">
        <v>1.4282941336591499</v>
      </c>
    </row>
    <row r="29" spans="1:2" x14ac:dyDescent="0.25">
      <c r="A29" s="1">
        <v>42461</v>
      </c>
      <c r="B29" s="3">
        <v>1.23637511278551</v>
      </c>
    </row>
    <row r="30" spans="1:2" x14ac:dyDescent="0.25">
      <c r="A30" s="1">
        <v>42491</v>
      </c>
      <c r="B30" s="3">
        <v>1.23824577946792</v>
      </c>
    </row>
    <row r="31" spans="1:2" x14ac:dyDescent="0.25">
      <c r="A31" s="1">
        <v>42522</v>
      </c>
      <c r="B31" s="3">
        <v>0.70705298273106898</v>
      </c>
    </row>
    <row r="32" spans="1:2" x14ac:dyDescent="0.25">
      <c r="A32" s="1">
        <v>42552</v>
      </c>
      <c r="B32" s="3">
        <v>1.10221989563644</v>
      </c>
    </row>
    <row r="33" spans="1:2" x14ac:dyDescent="0.25">
      <c r="A33" s="1">
        <v>42583</v>
      </c>
      <c r="B33" s="3">
        <v>1.2135110404789</v>
      </c>
    </row>
    <row r="34" spans="1:2" x14ac:dyDescent="0.25">
      <c r="A34" s="1">
        <v>42614</v>
      </c>
      <c r="B34" s="3">
        <v>1.1616715186020499</v>
      </c>
    </row>
    <row r="35" spans="1:2" x14ac:dyDescent="0.25">
      <c r="A35" s="1">
        <v>42644</v>
      </c>
      <c r="B35" s="3">
        <v>1.2328681909986698</v>
      </c>
    </row>
    <row r="36" spans="1:2" x14ac:dyDescent="0.25">
      <c r="A36" s="1">
        <v>42675</v>
      </c>
      <c r="B36" s="3">
        <v>1.3322591723120301</v>
      </c>
    </row>
    <row r="37" spans="1:2" x14ac:dyDescent="0.25">
      <c r="A37" s="1">
        <v>42705</v>
      </c>
      <c r="B37" s="3">
        <v>1.53472406980885</v>
      </c>
    </row>
    <row r="38" spans="1:2" x14ac:dyDescent="0.25">
      <c r="A38" s="1">
        <v>42736</v>
      </c>
      <c r="B38" s="3">
        <v>1.56866781808304</v>
      </c>
    </row>
    <row r="39" spans="1:2" x14ac:dyDescent="0.25">
      <c r="A39" s="1">
        <v>42767</v>
      </c>
      <c r="B39" s="3">
        <v>1.44256195543687</v>
      </c>
    </row>
    <row r="40" spans="1:2" x14ac:dyDescent="0.25">
      <c r="A40" s="1">
        <v>42795</v>
      </c>
      <c r="B40" s="3">
        <v>1.5561002655747</v>
      </c>
    </row>
    <row r="41" spans="1:2" x14ac:dyDescent="0.25">
      <c r="A41" s="1">
        <v>42826</v>
      </c>
      <c r="B41" s="3">
        <v>1.4744025024029401</v>
      </c>
    </row>
    <row r="42" spans="1:2" x14ac:dyDescent="0.25">
      <c r="A42" s="1">
        <v>42856</v>
      </c>
      <c r="B42" s="3">
        <v>1.21988843426417</v>
      </c>
    </row>
    <row r="43" spans="1:2" x14ac:dyDescent="0.25">
      <c r="A43" s="1">
        <v>42887</v>
      </c>
      <c r="B43" s="3">
        <v>0.80270908792418105</v>
      </c>
    </row>
    <row r="44" spans="1:2" x14ac:dyDescent="0.25">
      <c r="A44" s="1">
        <v>42917</v>
      </c>
      <c r="B44" s="3">
        <v>1.1358047622710001</v>
      </c>
    </row>
    <row r="45" spans="1:2" x14ac:dyDescent="0.25">
      <c r="A45" s="1">
        <v>42948</v>
      </c>
      <c r="B45" s="3">
        <v>1.1981630660060099</v>
      </c>
    </row>
    <row r="46" spans="1:2" x14ac:dyDescent="0.25">
      <c r="A46" s="1">
        <v>42979</v>
      </c>
      <c r="B46" s="3">
        <v>1.17933689570906</v>
      </c>
    </row>
    <row r="47" spans="1:2" x14ac:dyDescent="0.25">
      <c r="A47" s="1">
        <v>43009</v>
      </c>
      <c r="B47" s="3">
        <v>1.29225968849718</v>
      </c>
    </row>
    <row r="48" spans="1:2" x14ac:dyDescent="0.25">
      <c r="A48" s="1">
        <v>43040</v>
      </c>
      <c r="B48" s="3">
        <v>1.3711920666917701</v>
      </c>
    </row>
    <row r="49" spans="1:2" x14ac:dyDescent="0.25">
      <c r="A49" s="1">
        <v>43070</v>
      </c>
      <c r="B49" s="3">
        <v>1.5459730547074799</v>
      </c>
    </row>
    <row r="50" spans="1:2" x14ac:dyDescent="0.25">
      <c r="A50" s="1">
        <v>43101</v>
      </c>
      <c r="B50" s="3">
        <v>1.5897088140306899</v>
      </c>
    </row>
    <row r="51" spans="1:2" x14ac:dyDescent="0.25">
      <c r="A51" s="1">
        <v>43132</v>
      </c>
      <c r="B51" s="3">
        <v>1.4627159487800601</v>
      </c>
    </row>
    <row r="52" spans="1:2" x14ac:dyDescent="0.25">
      <c r="A52" s="1">
        <v>43160</v>
      </c>
      <c r="B52" s="3">
        <v>1.601823253896</v>
      </c>
    </row>
    <row r="53" spans="1:2" x14ac:dyDescent="0.25">
      <c r="A53" s="1">
        <v>43191</v>
      </c>
      <c r="B53" s="3">
        <v>1.4391350789375501</v>
      </c>
    </row>
    <row r="54" spans="1:2" x14ac:dyDescent="0.25">
      <c r="A54" s="1">
        <v>43221</v>
      </c>
      <c r="B54" s="3">
        <v>1.06358836569783</v>
      </c>
    </row>
    <row r="55" spans="1:2" x14ac:dyDescent="0.25">
      <c r="A55" s="1">
        <v>43252</v>
      </c>
      <c r="B55" s="3">
        <v>0.94739547108769806</v>
      </c>
    </row>
    <row r="56" spans="1:2" x14ac:dyDescent="0.25">
      <c r="A56" s="1">
        <v>43282</v>
      </c>
      <c r="B56" s="3">
        <v>1.15025092073531</v>
      </c>
    </row>
    <row r="57" spans="1:2" x14ac:dyDescent="0.25">
      <c r="A57" s="1">
        <v>43313</v>
      </c>
      <c r="B57" s="3">
        <v>1.18361614311761</v>
      </c>
    </row>
    <row r="58" spans="1:2" x14ac:dyDescent="0.25">
      <c r="A58" s="1">
        <v>43344</v>
      </c>
      <c r="B58" s="3">
        <v>1.14660281392804</v>
      </c>
    </row>
    <row r="59" spans="1:2" x14ac:dyDescent="0.25">
      <c r="A59" s="1">
        <v>43374</v>
      </c>
      <c r="B59" s="3">
        <v>1.29558155573791</v>
      </c>
    </row>
    <row r="60" spans="1:2" x14ac:dyDescent="0.25">
      <c r="A60" s="1">
        <v>43405</v>
      </c>
      <c r="B60" s="3">
        <v>1.4242436861690999</v>
      </c>
    </row>
    <row r="61" spans="1:2" x14ac:dyDescent="0.25">
      <c r="A61" s="1">
        <v>43435</v>
      </c>
      <c r="B61" s="3">
        <v>1.61668543782359</v>
      </c>
    </row>
    <row r="62" spans="1:2" x14ac:dyDescent="0.25">
      <c r="A62" s="1">
        <v>43466</v>
      </c>
      <c r="B62" s="3">
        <v>1.6138729045820899</v>
      </c>
    </row>
    <row r="63" spans="1:2" x14ac:dyDescent="0.25">
      <c r="A63" s="1">
        <v>43497</v>
      </c>
      <c r="B63" s="3">
        <v>1.5241078578912199</v>
      </c>
    </row>
    <row r="64" spans="1:2" x14ac:dyDescent="0.25">
      <c r="A64" s="1">
        <v>43525</v>
      </c>
      <c r="B64" s="3">
        <v>1.6122046015585101</v>
      </c>
    </row>
    <row r="65" spans="1:2" x14ac:dyDescent="0.25">
      <c r="A65" s="1">
        <v>43556</v>
      </c>
      <c r="B65" s="3">
        <v>1.5121973050581301</v>
      </c>
    </row>
    <row r="66" spans="1:2" x14ac:dyDescent="0.25">
      <c r="A66" s="1">
        <v>43586</v>
      </c>
      <c r="B66" s="3">
        <v>0.89420417228622395</v>
      </c>
    </row>
    <row r="67" spans="1:2" x14ac:dyDescent="0.25">
      <c r="A67" s="1">
        <v>43617</v>
      </c>
      <c r="B67" s="3">
        <v>1.2009768351458299</v>
      </c>
    </row>
    <row r="68" spans="1:2" x14ac:dyDescent="0.25">
      <c r="A68" s="1">
        <v>43647</v>
      </c>
      <c r="B68" s="3">
        <v>1.2182541020226298</v>
      </c>
    </row>
    <row r="69" spans="1:2" x14ac:dyDescent="0.25">
      <c r="A69" s="1">
        <v>43678</v>
      </c>
      <c r="B69" s="3">
        <v>1.2760719586139702</v>
      </c>
    </row>
    <row r="70" spans="1:2" x14ac:dyDescent="0.25">
      <c r="A70" s="1">
        <v>43709</v>
      </c>
      <c r="B70" s="3">
        <v>1.2303441515276099</v>
      </c>
    </row>
    <row r="71" spans="1:2" x14ac:dyDescent="0.25">
      <c r="A71" s="1">
        <v>43739</v>
      </c>
      <c r="B71" s="3">
        <v>1.4193199022804999</v>
      </c>
    </row>
    <row r="72" spans="1:2" x14ac:dyDescent="0.25">
      <c r="A72" s="1">
        <v>43770</v>
      </c>
      <c r="B72" s="3">
        <v>1.5029881792634701</v>
      </c>
    </row>
    <row r="73" spans="1:2" x14ac:dyDescent="0.25">
      <c r="A73" s="1">
        <v>43800</v>
      </c>
      <c r="B73" s="3">
        <v>1.72229973171825</v>
      </c>
    </row>
    <row r="74" spans="1:2" x14ac:dyDescent="0.25">
      <c r="A74" s="1">
        <v>43831</v>
      </c>
      <c r="B74" s="3">
        <v>1.79040123518479</v>
      </c>
    </row>
    <row r="75" spans="1:2" x14ac:dyDescent="0.25">
      <c r="A75" s="1">
        <v>43862</v>
      </c>
      <c r="B75" s="3">
        <v>1.4785290376132898</v>
      </c>
    </row>
    <row r="76" spans="1:2" x14ac:dyDescent="0.25">
      <c r="A76" s="1">
        <v>43891</v>
      </c>
      <c r="B76" s="3">
        <v>0.56644284405466705</v>
      </c>
    </row>
    <row r="77" spans="1:2" x14ac:dyDescent="0.25">
      <c r="A77" s="1">
        <v>43922</v>
      </c>
      <c r="B77" s="4">
        <v>0</v>
      </c>
    </row>
    <row r="78" spans="1:2" x14ac:dyDescent="0.25">
      <c r="A78" s="1">
        <v>43952</v>
      </c>
      <c r="B78" s="4">
        <v>0</v>
      </c>
    </row>
    <row r="79" spans="1:2" x14ac:dyDescent="0.25">
      <c r="A79" s="1">
        <v>43983</v>
      </c>
      <c r="B79" s="4">
        <v>0</v>
      </c>
    </row>
    <row r="80" spans="1:2" x14ac:dyDescent="0.25">
      <c r="A80" s="1">
        <v>44013</v>
      </c>
      <c r="B80" s="3">
        <v>4.01057155686265E-2</v>
      </c>
    </row>
    <row r="81" spans="1:2" x14ac:dyDescent="0.25">
      <c r="A81" s="1">
        <v>44044</v>
      </c>
      <c r="B81" s="3">
        <v>0.134203440175519</v>
      </c>
    </row>
    <row r="82" spans="1:2" x14ac:dyDescent="0.25">
      <c r="A82" s="1">
        <v>44075</v>
      </c>
      <c r="B82" s="3">
        <v>0.24239783577478</v>
      </c>
    </row>
    <row r="83" spans="1:2" x14ac:dyDescent="0.25">
      <c r="A83" s="1">
        <v>44105</v>
      </c>
      <c r="B83" s="3">
        <v>0.34044765322105203</v>
      </c>
    </row>
    <row r="84" spans="1:2" x14ac:dyDescent="0.25">
      <c r="A84" s="1">
        <v>44136</v>
      </c>
      <c r="B84" s="3">
        <v>0.35288962441662197</v>
      </c>
    </row>
    <row r="85" spans="1:2" x14ac:dyDescent="0.25">
      <c r="A85" s="1">
        <v>44166</v>
      </c>
      <c r="B85" s="3">
        <v>0.55981814876283709</v>
      </c>
    </row>
    <row r="86" spans="1:2" x14ac:dyDescent="0.25">
      <c r="A86" s="1">
        <v>44197</v>
      </c>
      <c r="B86" s="3">
        <v>0.45214149681349503</v>
      </c>
    </row>
    <row r="87" spans="1:2" x14ac:dyDescent="0.25">
      <c r="A87" s="1">
        <v>44228</v>
      </c>
      <c r="B87" s="3">
        <v>0.35996057053026598</v>
      </c>
    </row>
    <row r="88" spans="1:2" x14ac:dyDescent="0.25">
      <c r="A88" s="1">
        <v>44256</v>
      </c>
      <c r="B88" s="3">
        <v>0.45462682748400196</v>
      </c>
    </row>
    <row r="89" spans="1:2" x14ac:dyDescent="0.25">
      <c r="A89" s="1">
        <v>44287</v>
      </c>
      <c r="B89" s="3">
        <v>0.417076095423282</v>
      </c>
    </row>
    <row r="90" spans="1:2" x14ac:dyDescent="0.25">
      <c r="A90" s="1">
        <v>44317</v>
      </c>
      <c r="B90" s="3">
        <v>0.39341455464896796</v>
      </c>
    </row>
    <row r="91" spans="1:2" x14ac:dyDescent="0.25">
      <c r="A91" s="1">
        <v>44348</v>
      </c>
      <c r="B91" s="3">
        <v>0.43799592746370797</v>
      </c>
    </row>
    <row r="92" spans="1:2" x14ac:dyDescent="0.25">
      <c r="A92" s="1">
        <v>44378</v>
      </c>
      <c r="B92" s="3">
        <v>0.33763915644436399</v>
      </c>
    </row>
    <row r="93" spans="1:2" x14ac:dyDescent="0.25">
      <c r="A93" s="1">
        <v>44409</v>
      </c>
      <c r="B93" s="3">
        <v>0.37592926383140102</v>
      </c>
    </row>
    <row r="94" spans="1:2" x14ac:dyDescent="0.25">
      <c r="A94" s="1">
        <v>44440</v>
      </c>
      <c r="B94" s="3">
        <v>0.61679909936012001</v>
      </c>
    </row>
    <row r="95" spans="1:2" x14ac:dyDescent="0.25">
      <c r="A95" s="1">
        <v>44470</v>
      </c>
      <c r="B95" s="3">
        <v>1.0294778367869801</v>
      </c>
    </row>
    <row r="96" spans="1:2" x14ac:dyDescent="0.25">
      <c r="A96" s="1">
        <v>44501</v>
      </c>
      <c r="B96" s="3">
        <v>1.1475993891035801</v>
      </c>
    </row>
    <row r="97" spans="1:2" x14ac:dyDescent="0.25">
      <c r="A97" s="1">
        <v>44531</v>
      </c>
      <c r="B97" s="3">
        <v>1.25916301442069</v>
      </c>
    </row>
    <row r="98" spans="1:2" x14ac:dyDescent="0.25">
      <c r="A98" s="1">
        <v>44562</v>
      </c>
      <c r="B98" s="3">
        <v>0.97965734068587196</v>
      </c>
    </row>
    <row r="99" spans="1:2" x14ac:dyDescent="0.25">
      <c r="A99" s="1">
        <v>44593</v>
      </c>
      <c r="B99" s="3">
        <v>1.2109851794048698</v>
      </c>
    </row>
    <row r="100" spans="1:2" x14ac:dyDescent="0.25">
      <c r="A100" s="1">
        <v>44621</v>
      </c>
      <c r="B100" s="3">
        <v>1.78363851136414</v>
      </c>
    </row>
    <row r="101" spans="1:2" x14ac:dyDescent="0.25">
      <c r="A101" s="1">
        <v>44652</v>
      </c>
      <c r="B101" s="3">
        <v>1.1217861975382799</v>
      </c>
    </row>
    <row r="102" spans="1:2" x14ac:dyDescent="0.25">
      <c r="A102" s="1">
        <v>44682</v>
      </c>
      <c r="B102" s="3">
        <v>1.07479046630062</v>
      </c>
    </row>
    <row r="103" spans="1:2" x14ac:dyDescent="0.25">
      <c r="A103" s="1">
        <v>44713</v>
      </c>
      <c r="B103" s="3">
        <v>0.94510417475683295</v>
      </c>
    </row>
    <row r="104" spans="1:2" x14ac:dyDescent="0.25">
      <c r="A104" s="1">
        <v>44743</v>
      </c>
      <c r="B104" s="3">
        <v>0.985630799225645</v>
      </c>
    </row>
    <row r="105" spans="1:2" x14ac:dyDescent="0.25">
      <c r="A105" s="1">
        <v>44774</v>
      </c>
      <c r="B105" s="3">
        <v>1.0231455850634699</v>
      </c>
    </row>
    <row r="106" spans="1:2" x14ac:dyDescent="0.25">
      <c r="A106" s="1">
        <v>44805</v>
      </c>
      <c r="B106" s="3">
        <v>0.99871569678979399</v>
      </c>
    </row>
    <row r="107" spans="1:2" x14ac:dyDescent="0.25">
      <c r="A107" s="1">
        <v>44835</v>
      </c>
      <c r="B107" s="3">
        <v>1.2798971084141</v>
      </c>
    </row>
    <row r="108" spans="1:2" x14ac:dyDescent="0.25">
      <c r="A108" s="1">
        <v>44866</v>
      </c>
      <c r="B108" s="3">
        <v>1.4132324857488801</v>
      </c>
    </row>
    <row r="109" spans="1:2" x14ac:dyDescent="0.25">
      <c r="A109" s="1">
        <v>44896</v>
      </c>
      <c r="B109" s="3">
        <v>1.54436168924929</v>
      </c>
    </row>
    <row r="110" spans="1:2" x14ac:dyDescent="0.25">
      <c r="A110" s="1">
        <v>44927</v>
      </c>
      <c r="B110" s="3">
        <v>1.4654055184679</v>
      </c>
    </row>
    <row r="111" spans="1:2" x14ac:dyDescent="0.25">
      <c r="A111" s="1">
        <v>44958</v>
      </c>
      <c r="B111" s="3">
        <v>1.6387329466529401</v>
      </c>
    </row>
    <row r="112" spans="1:2" x14ac:dyDescent="0.25">
      <c r="A112" s="1">
        <v>44986</v>
      </c>
      <c r="B112" s="3">
        <v>1.5643425380057001</v>
      </c>
    </row>
    <row r="113" spans="1:2" x14ac:dyDescent="0.25">
      <c r="A113" s="1">
        <v>45017</v>
      </c>
      <c r="B113" s="3">
        <v>1.3492159613935801</v>
      </c>
    </row>
    <row r="114" spans="1:2" x14ac:dyDescent="0.25">
      <c r="A114" s="1">
        <v>45047</v>
      </c>
      <c r="B114" s="3">
        <v>1.36924142050678</v>
      </c>
    </row>
    <row r="115" spans="1:2" x14ac:dyDescent="0.25">
      <c r="A115" s="1">
        <v>45078</v>
      </c>
      <c r="B115" s="3">
        <v>1.16477454077433</v>
      </c>
    </row>
    <row r="116" spans="1:2" x14ac:dyDescent="0.25">
      <c r="A116" s="1">
        <v>45108</v>
      </c>
      <c r="B116" s="3">
        <v>1.28325795188003</v>
      </c>
    </row>
    <row r="117" spans="1:2" x14ac:dyDescent="0.25">
      <c r="A117" s="1">
        <v>45139</v>
      </c>
      <c r="B117" s="3">
        <v>1.26504292763713</v>
      </c>
    </row>
    <row r="118" spans="1:2" x14ac:dyDescent="0.25">
      <c r="A118" s="1">
        <v>45170</v>
      </c>
      <c r="B118" s="3">
        <v>1.2986393685695401</v>
      </c>
    </row>
    <row r="119" spans="1:2" x14ac:dyDescent="0.25">
      <c r="A119" s="1">
        <v>45200</v>
      </c>
      <c r="B119" s="3">
        <v>1.5041837866999299</v>
      </c>
    </row>
    <row r="120" spans="1:2" x14ac:dyDescent="0.25">
      <c r="A120" s="1">
        <v>45231</v>
      </c>
      <c r="B120" s="3">
        <v>1.4656407320679898</v>
      </c>
    </row>
    <row r="121" spans="1:2" x14ac:dyDescent="0.25">
      <c r="A121" s="1">
        <v>45261</v>
      </c>
      <c r="B121" s="3">
        <v>1.7856208808043599</v>
      </c>
    </row>
    <row r="122" spans="1:2" x14ac:dyDescent="0.25">
      <c r="A122" s="1">
        <v>45292</v>
      </c>
      <c r="B122">
        <v>1.77</v>
      </c>
    </row>
    <row r="123" spans="1:2" x14ac:dyDescent="0.25">
      <c r="A123" s="1">
        <v>45323</v>
      </c>
      <c r="B123">
        <v>1.9</v>
      </c>
    </row>
    <row r="124" spans="1:2" x14ac:dyDescent="0.25">
      <c r="A124" s="1">
        <v>45352</v>
      </c>
      <c r="B124">
        <v>1.5099999999999998</v>
      </c>
    </row>
    <row r="125" spans="1:2" x14ac:dyDescent="0.25">
      <c r="A125" s="1">
        <v>45383</v>
      </c>
      <c r="B125">
        <v>1.5</v>
      </c>
    </row>
    <row r="126" spans="1:2" x14ac:dyDescent="0.25">
      <c r="A126" s="1">
        <v>45413</v>
      </c>
      <c r="B126">
        <v>1.4399999999999995</v>
      </c>
    </row>
    <row r="127" spans="1:2" x14ac:dyDescent="0.25">
      <c r="A127" s="1">
        <v>45444</v>
      </c>
      <c r="B127">
        <v>1.1900000000000013</v>
      </c>
    </row>
    <row r="128" spans="1:2" x14ac:dyDescent="0.25">
      <c r="A128" s="1">
        <v>45474</v>
      </c>
      <c r="B128">
        <v>1.3099999999999987</v>
      </c>
    </row>
    <row r="129" spans="1:2" x14ac:dyDescent="0.25">
      <c r="A129" s="1">
        <v>45505</v>
      </c>
      <c r="B129">
        <v>1.3100000000000005</v>
      </c>
    </row>
    <row r="130" spans="1:2" x14ac:dyDescent="0.25">
      <c r="A130" s="1">
        <v>45536</v>
      </c>
      <c r="B130">
        <v>1.3599999999999994</v>
      </c>
    </row>
    <row r="131" spans="1:2" x14ac:dyDescent="0.25">
      <c r="A131" s="1">
        <v>45566</v>
      </c>
      <c r="B131">
        <v>1.6700000000000017</v>
      </c>
    </row>
    <row r="132" spans="1:2" x14ac:dyDescent="0.25">
      <c r="A132" s="1">
        <v>45597</v>
      </c>
      <c r="B132">
        <v>1.8299999999999983</v>
      </c>
    </row>
    <row r="133" spans="1:2" x14ac:dyDescent="0.25">
      <c r="A133" s="1">
        <v>45627</v>
      </c>
      <c r="B133">
        <v>1.9299999999999997</v>
      </c>
    </row>
    <row r="134" spans="1:2" x14ac:dyDescent="0.25">
      <c r="A134" s="1">
        <v>45658</v>
      </c>
      <c r="B134" s="5">
        <v>1.94</v>
      </c>
    </row>
    <row r="135" spans="1:2" x14ac:dyDescent="0.25">
      <c r="A135" s="1">
        <v>45689</v>
      </c>
      <c r="B135" s="5">
        <v>1.88</v>
      </c>
    </row>
    <row r="136" spans="1:2" x14ac:dyDescent="0.25">
      <c r="A136" s="1">
        <v>45717</v>
      </c>
      <c r="B136" s="5">
        <v>1.49</v>
      </c>
    </row>
    <row r="137" spans="1:2" x14ac:dyDescent="0.25">
      <c r="A137" s="1">
        <v>45748</v>
      </c>
      <c r="B137" s="5">
        <v>1.84</v>
      </c>
    </row>
    <row r="138" spans="1:2" x14ac:dyDescent="0.25">
      <c r="A138" s="1">
        <v>45778</v>
      </c>
      <c r="B138" s="5">
        <v>1.53</v>
      </c>
    </row>
    <row r="139" spans="1:2" x14ac:dyDescent="0.25">
      <c r="A139" s="1">
        <v>45809</v>
      </c>
      <c r="B139" s="5">
        <v>1.2</v>
      </c>
    </row>
    <row r="140" spans="1:2" x14ac:dyDescent="0.25">
      <c r="A140" s="1">
        <v>45839</v>
      </c>
      <c r="B140" s="5">
        <v>1.29</v>
      </c>
    </row>
    <row r="141" spans="1:2" x14ac:dyDescent="0.25">
      <c r="A141" s="1">
        <v>45870</v>
      </c>
      <c r="B141" s="5">
        <v>1.37</v>
      </c>
    </row>
    <row r="142" spans="1:2" x14ac:dyDescent="0.25">
      <c r="A142" s="1">
        <v>45901</v>
      </c>
      <c r="B142" s="5">
        <v>1.41</v>
      </c>
    </row>
    <row r="143" spans="1:2" x14ac:dyDescent="0.25">
      <c r="A143" s="1">
        <v>45931</v>
      </c>
      <c r="B143" s="5">
        <v>1.75</v>
      </c>
    </row>
    <row r="144" spans="1:2" x14ac:dyDescent="0.25">
      <c r="A144" s="1">
        <v>45962</v>
      </c>
      <c r="B144" s="5">
        <v>1.85</v>
      </c>
    </row>
    <row r="145" spans="1:2" x14ac:dyDescent="0.25">
      <c r="A145" s="1">
        <v>45992</v>
      </c>
      <c r="B145" s="5">
        <v>2.04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C54B-C220-42B9-9624-B1F6C2877372}">
  <dimension ref="A1:F12"/>
  <sheetViews>
    <sheetView zoomScaleNormal="100" workbookViewId="0"/>
  </sheetViews>
  <sheetFormatPr defaultRowHeight="15" x14ac:dyDescent="0.25"/>
  <cols>
    <col min="2" max="2" width="13.42578125" style="6" bestFit="1" customWidth="1"/>
    <col min="3" max="3" width="11.7109375" bestFit="1" customWidth="1"/>
    <col min="4" max="4" width="10.5703125" bestFit="1" customWidth="1"/>
  </cols>
  <sheetData>
    <row r="1" spans="1:6" x14ac:dyDescent="0.25">
      <c r="A1" t="s">
        <v>1</v>
      </c>
      <c r="B1" s="6" t="s">
        <v>2</v>
      </c>
      <c r="C1" t="s">
        <v>3</v>
      </c>
      <c r="D1" t="s">
        <v>5</v>
      </c>
    </row>
    <row r="2" spans="1:6" x14ac:dyDescent="0.25">
      <c r="A2">
        <v>2014</v>
      </c>
      <c r="B2" s="6">
        <v>212000</v>
      </c>
      <c r="C2" s="7">
        <v>2115350</v>
      </c>
      <c r="D2" s="8">
        <f>B2+C2</f>
        <v>2327350</v>
      </c>
      <c r="E2" s="3"/>
    </row>
    <row r="3" spans="1:6" x14ac:dyDescent="0.25">
      <c r="A3">
        <v>2015</v>
      </c>
      <c r="B3" s="6">
        <v>222875</v>
      </c>
      <c r="C3" s="7">
        <v>2223800</v>
      </c>
      <c r="D3" s="8">
        <f>B3+C3</f>
        <v>2446675</v>
      </c>
      <c r="E3" s="3"/>
      <c r="F3" s="3"/>
    </row>
    <row r="4" spans="1:6" x14ac:dyDescent="0.25">
      <c r="A4">
        <f>A3+1</f>
        <v>2016</v>
      </c>
      <c r="B4" s="6">
        <v>233430</v>
      </c>
      <c r="C4" s="7">
        <v>2465170</v>
      </c>
      <c r="D4" s="8">
        <f t="shared" ref="D4:D12" si="0">B4+C4</f>
        <v>2698600</v>
      </c>
      <c r="E4" s="3"/>
      <c r="F4" s="3"/>
    </row>
    <row r="5" spans="1:6" x14ac:dyDescent="0.25">
      <c r="A5">
        <f t="shared" ref="A5:A12" si="1">A4+1</f>
        <v>2017</v>
      </c>
      <c r="B5" s="6">
        <v>245200</v>
      </c>
      <c r="C5" s="7">
        <v>2731255</v>
      </c>
      <c r="D5" s="8">
        <f t="shared" si="0"/>
        <v>2976455</v>
      </c>
      <c r="E5" s="3"/>
      <c r="F5" s="3"/>
    </row>
    <row r="6" spans="1:6" x14ac:dyDescent="0.25">
      <c r="A6">
        <f t="shared" si="1"/>
        <v>2018</v>
      </c>
      <c r="B6" s="6">
        <v>254600</v>
      </c>
      <c r="C6" s="7">
        <v>2937675</v>
      </c>
      <c r="D6" s="8">
        <f t="shared" si="0"/>
        <v>3192275</v>
      </c>
      <c r="E6" s="3"/>
      <c r="F6" s="3"/>
    </row>
    <row r="7" spans="1:6" x14ac:dyDescent="0.25">
      <c r="A7">
        <f t="shared" si="1"/>
        <v>2019</v>
      </c>
      <c r="B7" s="6">
        <v>263450</v>
      </c>
      <c r="C7" s="7">
        <v>3092450</v>
      </c>
      <c r="D7" s="8">
        <f t="shared" si="0"/>
        <v>3355900</v>
      </c>
      <c r="E7" s="3"/>
      <c r="F7" s="3"/>
    </row>
    <row r="8" spans="1:6" x14ac:dyDescent="0.25">
      <c r="A8">
        <f t="shared" si="1"/>
        <v>2020</v>
      </c>
      <c r="B8" s="6">
        <v>271050</v>
      </c>
      <c r="C8" s="7">
        <v>3140150</v>
      </c>
      <c r="D8" s="8">
        <f t="shared" si="0"/>
        <v>3411200</v>
      </c>
      <c r="E8" s="3"/>
      <c r="F8" s="3"/>
    </row>
    <row r="9" spans="1:6" x14ac:dyDescent="0.25">
      <c r="A9">
        <f t="shared" si="1"/>
        <v>2021</v>
      </c>
      <c r="B9" s="6">
        <v>278785</v>
      </c>
      <c r="C9" s="7">
        <v>3199515</v>
      </c>
      <c r="D9" s="8">
        <f t="shared" si="0"/>
        <v>3478300</v>
      </c>
      <c r="E9" s="3"/>
      <c r="F9" s="3"/>
    </row>
    <row r="10" spans="1:6" x14ac:dyDescent="0.25">
      <c r="A10">
        <f t="shared" si="1"/>
        <v>2022</v>
      </c>
      <c r="B10" s="6">
        <v>284650</v>
      </c>
      <c r="C10" s="7">
        <v>3265250</v>
      </c>
      <c r="D10" s="8">
        <f t="shared" si="0"/>
        <v>3549900</v>
      </c>
      <c r="E10" s="3"/>
      <c r="F10" s="3"/>
    </row>
    <row r="11" spans="1:6" x14ac:dyDescent="0.25">
      <c r="A11">
        <f t="shared" si="1"/>
        <v>2023</v>
      </c>
      <c r="B11" s="6">
        <v>292200</v>
      </c>
      <c r="C11" s="7">
        <v>3362800</v>
      </c>
      <c r="D11" s="8">
        <f t="shared" si="0"/>
        <v>3655000</v>
      </c>
      <c r="E11" s="3"/>
      <c r="F11" s="3"/>
    </row>
    <row r="12" spans="1:6" x14ac:dyDescent="0.25">
      <c r="A12">
        <f t="shared" si="1"/>
        <v>2024</v>
      </c>
      <c r="B12" s="6">
        <v>299600</v>
      </c>
      <c r="C12" s="7">
        <v>3948600</v>
      </c>
      <c r="D12" s="8">
        <f t="shared" si="0"/>
        <v>4248200</v>
      </c>
      <c r="E12" s="3"/>
      <c r="F1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8E8E-E588-49B5-9375-D97421AD5FD1}">
  <dimension ref="A1:C146"/>
  <sheetViews>
    <sheetView tabSelected="1" zoomScaleNormal="100" workbookViewId="0">
      <selection activeCell="H30" sqref="H30"/>
    </sheetView>
  </sheetViews>
  <sheetFormatPr defaultRowHeight="15" x14ac:dyDescent="0.25"/>
  <cols>
    <col min="1" max="1" width="17.28515625" customWidth="1"/>
  </cols>
  <sheetData>
    <row r="1" spans="1:3" x14ac:dyDescent="0.25">
      <c r="A1" t="s">
        <v>10</v>
      </c>
      <c r="B1" t="s">
        <v>11</v>
      </c>
      <c r="C1" s="38" t="s">
        <v>12</v>
      </c>
    </row>
    <row r="2" spans="1:3" x14ac:dyDescent="0.25">
      <c r="A2" s="9">
        <v>41244</v>
      </c>
      <c r="B2">
        <v>1.01</v>
      </c>
      <c r="C2" t="s">
        <v>13</v>
      </c>
    </row>
    <row r="3" spans="1:3" x14ac:dyDescent="0.25">
      <c r="A3" s="9">
        <v>41275</v>
      </c>
      <c r="B3">
        <v>1</v>
      </c>
    </row>
    <row r="4" spans="1:3" x14ac:dyDescent="0.25">
      <c r="A4" s="9">
        <v>41306</v>
      </c>
      <c r="B4">
        <v>0.995</v>
      </c>
    </row>
    <row r="5" spans="1:3" x14ac:dyDescent="0.25">
      <c r="A5" s="9">
        <v>41334</v>
      </c>
      <c r="B5">
        <v>0.995</v>
      </c>
    </row>
    <row r="6" spans="1:3" x14ac:dyDescent="0.25">
      <c r="A6" s="9">
        <v>41365</v>
      </c>
      <c r="B6">
        <v>1.006</v>
      </c>
    </row>
    <row r="7" spans="1:3" x14ac:dyDescent="0.25">
      <c r="A7" s="9">
        <v>41395</v>
      </c>
      <c r="B7">
        <v>1.02</v>
      </c>
    </row>
    <row r="8" spans="1:3" x14ac:dyDescent="0.25">
      <c r="A8" s="9">
        <v>41426</v>
      </c>
      <c r="B8">
        <v>1.028</v>
      </c>
    </row>
    <row r="9" spans="1:3" x14ac:dyDescent="0.25">
      <c r="A9" s="9">
        <v>41456</v>
      </c>
      <c r="B9">
        <v>1.04</v>
      </c>
    </row>
    <row r="10" spans="1:3" x14ac:dyDescent="0.25">
      <c r="A10" s="9">
        <v>41487</v>
      </c>
      <c r="B10">
        <v>1.0549999999999999</v>
      </c>
    </row>
    <row r="11" spans="1:3" x14ac:dyDescent="0.25">
      <c r="A11" s="9">
        <v>41518</v>
      </c>
      <c r="B11">
        <v>1.0669999999999999</v>
      </c>
    </row>
    <row r="12" spans="1:3" x14ac:dyDescent="0.25">
      <c r="A12" s="9">
        <v>41548</v>
      </c>
      <c r="B12">
        <v>1.0880000000000001</v>
      </c>
    </row>
    <row r="13" spans="1:3" x14ac:dyDescent="0.25">
      <c r="A13" s="9">
        <v>41579</v>
      </c>
      <c r="B13">
        <v>1.097</v>
      </c>
    </row>
    <row r="14" spans="1:3" x14ac:dyDescent="0.25">
      <c r="A14" s="9">
        <v>41609</v>
      </c>
      <c r="B14">
        <v>1.0980000000000001</v>
      </c>
    </row>
    <row r="15" spans="1:3" x14ac:dyDescent="0.25">
      <c r="A15" s="1">
        <v>41640</v>
      </c>
      <c r="B15">
        <v>1.1040000000000001</v>
      </c>
    </row>
    <row r="16" spans="1:3" x14ac:dyDescent="0.25">
      <c r="A16" s="1">
        <v>41671</v>
      </c>
      <c r="B16">
        <v>1.111</v>
      </c>
    </row>
    <row r="17" spans="1:2" x14ac:dyDescent="0.25">
      <c r="A17" s="1">
        <v>41699</v>
      </c>
      <c r="B17">
        <v>1.1299999999999999</v>
      </c>
    </row>
    <row r="18" spans="1:2" x14ac:dyDescent="0.25">
      <c r="A18" s="1">
        <v>41730</v>
      </c>
      <c r="B18">
        <v>1.155</v>
      </c>
    </row>
    <row r="19" spans="1:2" x14ac:dyDescent="0.25">
      <c r="A19" s="1">
        <v>41760</v>
      </c>
      <c r="B19">
        <v>1.1779999999999999</v>
      </c>
    </row>
    <row r="20" spans="1:2" x14ac:dyDescent="0.25">
      <c r="A20" s="1">
        <v>41791</v>
      </c>
      <c r="B20">
        <v>1.1970000000000001</v>
      </c>
    </row>
    <row r="21" spans="1:2" x14ac:dyDescent="0.25">
      <c r="A21" s="1">
        <v>41821</v>
      </c>
      <c r="B21">
        <v>1.212</v>
      </c>
    </row>
    <row r="22" spans="1:2" x14ac:dyDescent="0.25">
      <c r="A22" s="1">
        <v>41852</v>
      </c>
      <c r="B22">
        <v>1.2250000000000001</v>
      </c>
    </row>
    <row r="23" spans="1:2" x14ac:dyDescent="0.25">
      <c r="A23" s="1">
        <v>41883</v>
      </c>
      <c r="B23">
        <v>1.2390000000000001</v>
      </c>
    </row>
    <row r="24" spans="1:2" x14ac:dyDescent="0.25">
      <c r="A24" s="1">
        <v>41913</v>
      </c>
      <c r="B24">
        <v>1.2490000000000001</v>
      </c>
    </row>
    <row r="25" spans="1:2" x14ac:dyDescent="0.25">
      <c r="A25" s="1">
        <v>41944</v>
      </c>
      <c r="B25">
        <v>1.2549999999999999</v>
      </c>
    </row>
    <row r="26" spans="1:2" x14ac:dyDescent="0.25">
      <c r="A26" s="1">
        <v>41974</v>
      </c>
      <c r="B26">
        <v>1.2529999999999999</v>
      </c>
    </row>
    <row r="27" spans="1:2" x14ac:dyDescent="0.25">
      <c r="A27" s="1">
        <v>42005</v>
      </c>
      <c r="B27">
        <v>1.2470000000000001</v>
      </c>
    </row>
    <row r="28" spans="1:2" x14ac:dyDescent="0.25">
      <c r="A28" s="1">
        <v>42036</v>
      </c>
      <c r="B28">
        <v>1.254</v>
      </c>
    </row>
    <row r="29" spans="1:2" x14ac:dyDescent="0.25">
      <c r="A29" s="1">
        <v>42064</v>
      </c>
      <c r="B29">
        <v>1.2669999999999999</v>
      </c>
    </row>
    <row r="30" spans="1:2" x14ac:dyDescent="0.25">
      <c r="A30" s="1">
        <v>42095</v>
      </c>
      <c r="B30">
        <v>1.286</v>
      </c>
    </row>
    <row r="31" spans="1:2" x14ac:dyDescent="0.25">
      <c r="A31" s="1">
        <v>42125</v>
      </c>
      <c r="B31">
        <v>1.3069999999999999</v>
      </c>
    </row>
    <row r="32" spans="1:2" x14ac:dyDescent="0.25">
      <c r="A32" s="1">
        <v>42156</v>
      </c>
      <c r="B32">
        <v>1.3120000000000001</v>
      </c>
    </row>
    <row r="33" spans="1:2" x14ac:dyDescent="0.25">
      <c r="A33" s="1">
        <v>42186</v>
      </c>
      <c r="B33">
        <v>1.3169999999999999</v>
      </c>
    </row>
    <row r="34" spans="1:2" x14ac:dyDescent="0.25">
      <c r="A34" s="1">
        <v>42217</v>
      </c>
      <c r="B34">
        <v>1.323</v>
      </c>
    </row>
    <row r="35" spans="1:2" x14ac:dyDescent="0.25">
      <c r="A35" s="1">
        <v>42248</v>
      </c>
      <c r="B35">
        <v>1.33</v>
      </c>
    </row>
    <row r="36" spans="1:2" x14ac:dyDescent="0.25">
      <c r="A36" s="1">
        <v>42278</v>
      </c>
      <c r="B36">
        <v>1.3440000000000001</v>
      </c>
    </row>
    <row r="37" spans="1:2" x14ac:dyDescent="0.25">
      <c r="A37" s="1">
        <v>42309</v>
      </c>
      <c r="B37">
        <v>1.347</v>
      </c>
    </row>
    <row r="38" spans="1:2" x14ac:dyDescent="0.25">
      <c r="A38" s="1">
        <v>42339</v>
      </c>
      <c r="B38">
        <v>1.3440000000000001</v>
      </c>
    </row>
    <row r="39" spans="1:2" x14ac:dyDescent="0.25">
      <c r="A39" s="1">
        <v>42370</v>
      </c>
      <c r="B39">
        <v>1.337</v>
      </c>
    </row>
    <row r="40" spans="1:2" x14ac:dyDescent="0.25">
      <c r="A40" s="1">
        <v>42401</v>
      </c>
      <c r="B40">
        <v>1.3360000000000001</v>
      </c>
    </row>
    <row r="41" spans="1:2" x14ac:dyDescent="0.25">
      <c r="A41" s="1">
        <v>42430</v>
      </c>
      <c r="B41">
        <v>1.343</v>
      </c>
    </row>
    <row r="42" spans="1:2" x14ac:dyDescent="0.25">
      <c r="A42" s="1">
        <v>42461</v>
      </c>
      <c r="B42">
        <v>1.357</v>
      </c>
    </row>
    <row r="43" spans="1:2" x14ac:dyDescent="0.25">
      <c r="A43" s="1">
        <v>42491</v>
      </c>
      <c r="B43">
        <v>1.3680000000000001</v>
      </c>
    </row>
    <row r="44" spans="1:2" x14ac:dyDescent="0.25">
      <c r="A44" s="1">
        <v>42522</v>
      </c>
      <c r="B44">
        <v>1.375</v>
      </c>
    </row>
    <row r="45" spans="1:2" x14ac:dyDescent="0.25">
      <c r="A45" s="1">
        <v>42552</v>
      </c>
      <c r="B45">
        <v>1.377</v>
      </c>
    </row>
    <row r="46" spans="1:2" x14ac:dyDescent="0.25">
      <c r="A46" s="1">
        <v>42583</v>
      </c>
      <c r="B46">
        <v>1.375</v>
      </c>
    </row>
    <row r="47" spans="1:2" x14ac:dyDescent="0.25">
      <c r="A47" s="1">
        <v>42614</v>
      </c>
      <c r="B47">
        <v>1.3779999999999999</v>
      </c>
    </row>
    <row r="48" spans="1:2" x14ac:dyDescent="0.25">
      <c r="A48" s="1">
        <v>42644</v>
      </c>
      <c r="B48">
        <v>1.3759999999999999</v>
      </c>
    </row>
    <row r="49" spans="1:2" x14ac:dyDescent="0.25">
      <c r="A49" s="1">
        <v>42675</v>
      </c>
      <c r="B49">
        <v>1.371</v>
      </c>
    </row>
    <row r="50" spans="1:2" x14ac:dyDescent="0.25">
      <c r="A50" s="1">
        <v>42705</v>
      </c>
      <c r="B50">
        <v>1.361</v>
      </c>
    </row>
    <row r="51" spans="1:2" x14ac:dyDescent="0.25">
      <c r="A51" s="1">
        <v>42736</v>
      </c>
      <c r="B51">
        <v>1.3460000000000001</v>
      </c>
    </row>
    <row r="52" spans="1:2" x14ac:dyDescent="0.25">
      <c r="A52" s="1">
        <v>42767</v>
      </c>
      <c r="B52">
        <v>1.3360000000000001</v>
      </c>
    </row>
    <row r="53" spans="1:2" x14ac:dyDescent="0.25">
      <c r="A53" s="1">
        <v>42795</v>
      </c>
      <c r="B53">
        <v>1.331</v>
      </c>
    </row>
    <row r="54" spans="1:2" x14ac:dyDescent="0.25">
      <c r="A54" s="1">
        <v>42826</v>
      </c>
      <c r="B54">
        <v>1.3340000000000001</v>
      </c>
    </row>
    <row r="55" spans="1:2" x14ac:dyDescent="0.25">
      <c r="A55" s="1">
        <v>42856</v>
      </c>
      <c r="B55">
        <v>1.3360000000000001</v>
      </c>
    </row>
    <row r="56" spans="1:2" x14ac:dyDescent="0.25">
      <c r="A56" s="1">
        <v>42887</v>
      </c>
      <c r="B56">
        <v>1.335</v>
      </c>
    </row>
    <row r="57" spans="1:2" x14ac:dyDescent="0.25">
      <c r="A57" s="1">
        <v>42917</v>
      </c>
      <c r="B57">
        <v>1.327</v>
      </c>
    </row>
    <row r="58" spans="1:2" x14ac:dyDescent="0.25">
      <c r="A58" s="1">
        <v>42948</v>
      </c>
      <c r="B58">
        <v>1.3280000000000001</v>
      </c>
    </row>
    <row r="59" spans="1:2" x14ac:dyDescent="0.25">
      <c r="A59" s="1">
        <v>42979</v>
      </c>
      <c r="B59">
        <v>1.329</v>
      </c>
    </row>
    <row r="60" spans="1:2" x14ac:dyDescent="0.25">
      <c r="A60" s="1">
        <v>43009</v>
      </c>
      <c r="B60">
        <v>1.33</v>
      </c>
    </row>
    <row r="61" spans="1:2" x14ac:dyDescent="0.25">
      <c r="A61" s="1">
        <v>43040</v>
      </c>
      <c r="B61">
        <v>1.325</v>
      </c>
    </row>
    <row r="62" spans="1:2" x14ac:dyDescent="0.25">
      <c r="A62" s="1">
        <v>43070</v>
      </c>
      <c r="B62">
        <v>1.3109999999999999</v>
      </c>
    </row>
    <row r="63" spans="1:2" x14ac:dyDescent="0.25">
      <c r="A63" s="1">
        <v>43101</v>
      </c>
      <c r="B63">
        <v>1.29</v>
      </c>
    </row>
    <row r="64" spans="1:2" x14ac:dyDescent="0.25">
      <c r="A64" s="1">
        <v>43132</v>
      </c>
      <c r="B64">
        <v>1.276</v>
      </c>
    </row>
    <row r="65" spans="1:2" x14ac:dyDescent="0.25">
      <c r="A65" s="1">
        <v>43160</v>
      </c>
      <c r="B65">
        <v>1.2749999999999999</v>
      </c>
    </row>
    <row r="66" spans="1:2" x14ac:dyDescent="0.25">
      <c r="A66" s="1">
        <v>43191</v>
      </c>
      <c r="B66">
        <v>1.2709999999999999</v>
      </c>
    </row>
    <row r="67" spans="1:2" x14ac:dyDescent="0.25">
      <c r="A67" s="1">
        <v>43221</v>
      </c>
      <c r="B67">
        <v>1.2749999999999999</v>
      </c>
    </row>
    <row r="68" spans="1:2" x14ac:dyDescent="0.25">
      <c r="A68" s="1">
        <v>43252</v>
      </c>
      <c r="B68">
        <v>1.2709999999999999</v>
      </c>
    </row>
    <row r="69" spans="1:2" x14ac:dyDescent="0.25">
      <c r="A69" s="1">
        <v>43282</v>
      </c>
      <c r="B69">
        <v>1.2629999999999999</v>
      </c>
    </row>
    <row r="70" spans="1:2" x14ac:dyDescent="0.25">
      <c r="A70" s="1">
        <v>43313</v>
      </c>
      <c r="B70">
        <v>1.256</v>
      </c>
    </row>
    <row r="71" spans="1:2" x14ac:dyDescent="0.25">
      <c r="A71" s="1">
        <v>43344</v>
      </c>
      <c r="B71">
        <v>1.2509999999999999</v>
      </c>
    </row>
    <row r="72" spans="1:2" x14ac:dyDescent="0.25">
      <c r="A72" s="1">
        <v>43374</v>
      </c>
      <c r="B72">
        <v>1.244</v>
      </c>
    </row>
    <row r="73" spans="1:2" x14ac:dyDescent="0.25">
      <c r="A73" s="1">
        <v>43405</v>
      </c>
      <c r="B73">
        <v>1.2350000000000001</v>
      </c>
    </row>
    <row r="74" spans="1:2" x14ac:dyDescent="0.25">
      <c r="A74" s="1">
        <v>43435</v>
      </c>
      <c r="B74">
        <v>1.216</v>
      </c>
    </row>
    <row r="75" spans="1:2" x14ac:dyDescent="0.25">
      <c r="A75" s="1">
        <v>43466</v>
      </c>
      <c r="B75">
        <v>1.198</v>
      </c>
    </row>
    <row r="76" spans="1:2" x14ac:dyDescent="0.25">
      <c r="A76" s="1">
        <v>43497</v>
      </c>
      <c r="B76">
        <v>1.1859999999999999</v>
      </c>
    </row>
    <row r="77" spans="1:2" x14ac:dyDescent="0.25">
      <c r="A77" s="1">
        <v>43525</v>
      </c>
      <c r="B77">
        <v>1.173</v>
      </c>
    </row>
    <row r="78" spans="1:2" x14ac:dyDescent="0.25">
      <c r="A78" s="1">
        <v>43556</v>
      </c>
      <c r="B78">
        <v>1.1679999999999999</v>
      </c>
    </row>
    <row r="79" spans="1:2" x14ac:dyDescent="0.25">
      <c r="A79" s="1">
        <v>43586</v>
      </c>
      <c r="B79">
        <v>1.161</v>
      </c>
    </row>
    <row r="80" spans="1:2" x14ac:dyDescent="0.25">
      <c r="A80" s="1">
        <v>43617</v>
      </c>
      <c r="B80">
        <v>1.1459999999999999</v>
      </c>
    </row>
    <row r="81" spans="1:2" x14ac:dyDescent="0.25">
      <c r="A81" s="1">
        <v>43647</v>
      </c>
      <c r="B81">
        <v>1.141</v>
      </c>
    </row>
    <row r="82" spans="1:2" x14ac:dyDescent="0.25">
      <c r="A82" s="1">
        <v>43678</v>
      </c>
      <c r="B82">
        <v>1.1379999999999999</v>
      </c>
    </row>
    <row r="83" spans="1:2" x14ac:dyDescent="0.25">
      <c r="A83" s="1">
        <v>43709</v>
      </c>
      <c r="B83">
        <v>1.133</v>
      </c>
    </row>
    <row r="84" spans="1:2" x14ac:dyDescent="0.25">
      <c r="A84" s="1">
        <v>43739</v>
      </c>
      <c r="B84">
        <v>1.1200000000000001</v>
      </c>
    </row>
    <row r="85" spans="1:2" x14ac:dyDescent="0.25">
      <c r="A85" s="1">
        <v>43770</v>
      </c>
      <c r="B85">
        <v>1.1120000000000001</v>
      </c>
    </row>
    <row r="86" spans="1:2" x14ac:dyDescent="0.25">
      <c r="A86" s="1">
        <v>43800</v>
      </c>
      <c r="B86">
        <v>1.097</v>
      </c>
    </row>
    <row r="87" spans="1:2" x14ac:dyDescent="0.25">
      <c r="A87" s="1">
        <v>43831</v>
      </c>
      <c r="B87">
        <v>1.0860000000000001</v>
      </c>
    </row>
    <row r="88" spans="1:2" x14ac:dyDescent="0.25">
      <c r="A88" s="1">
        <v>43862</v>
      </c>
      <c r="B88">
        <v>1.0880000000000001</v>
      </c>
    </row>
    <row r="89" spans="1:2" x14ac:dyDescent="0.25">
      <c r="A89" s="1">
        <v>43891</v>
      </c>
      <c r="B89">
        <v>1.081</v>
      </c>
    </row>
    <row r="90" spans="1:2" x14ac:dyDescent="0.25">
      <c r="A90" s="1">
        <v>43922</v>
      </c>
      <c r="B90">
        <v>1.071</v>
      </c>
    </row>
    <row r="91" spans="1:2" x14ac:dyDescent="0.25">
      <c r="A91" s="1">
        <v>43952</v>
      </c>
      <c r="B91">
        <v>1.054</v>
      </c>
    </row>
    <row r="92" spans="1:2" x14ac:dyDescent="0.25">
      <c r="A92" s="1">
        <v>43983</v>
      </c>
      <c r="B92">
        <v>1.0369999999999999</v>
      </c>
    </row>
    <row r="93" spans="1:2" x14ac:dyDescent="0.25">
      <c r="A93" s="1">
        <v>44013</v>
      </c>
      <c r="B93">
        <v>1.0069999999999999</v>
      </c>
    </row>
    <row r="94" spans="1:2" x14ac:dyDescent="0.25">
      <c r="A94" s="1">
        <v>44044</v>
      </c>
      <c r="B94">
        <v>0.99399999999999999</v>
      </c>
    </row>
    <row r="95" spans="1:2" x14ac:dyDescent="0.25">
      <c r="A95" s="1">
        <v>44075</v>
      </c>
      <c r="B95">
        <v>1.0269999999999999</v>
      </c>
    </row>
    <row r="96" spans="1:2" x14ac:dyDescent="0.25">
      <c r="A96" s="1">
        <v>44105</v>
      </c>
      <c r="B96">
        <v>1.014</v>
      </c>
    </row>
    <row r="97" spans="1:2" x14ac:dyDescent="0.25">
      <c r="A97" s="1">
        <v>44136</v>
      </c>
      <c r="B97">
        <v>1.012</v>
      </c>
    </row>
    <row r="98" spans="1:2" x14ac:dyDescent="0.25">
      <c r="A98" s="1">
        <v>44166</v>
      </c>
      <c r="B98">
        <v>0.997</v>
      </c>
    </row>
    <row r="99" spans="1:2" x14ac:dyDescent="0.25">
      <c r="A99" s="1">
        <v>44197</v>
      </c>
      <c r="B99">
        <v>0.94599999999999995</v>
      </c>
    </row>
    <row r="100" spans="1:2" x14ac:dyDescent="0.25">
      <c r="A100" s="1">
        <v>44228</v>
      </c>
      <c r="B100">
        <v>0.94099999999999995</v>
      </c>
    </row>
    <row r="101" spans="1:2" x14ac:dyDescent="0.25">
      <c r="A101" s="1">
        <v>44256</v>
      </c>
      <c r="B101">
        <v>0.93600000000000005</v>
      </c>
    </row>
    <row r="102" spans="1:2" x14ac:dyDescent="0.25">
      <c r="A102" s="1">
        <v>44287</v>
      </c>
      <c r="B102">
        <v>0.93200000000000005</v>
      </c>
    </row>
    <row r="103" spans="1:2" x14ac:dyDescent="0.25">
      <c r="A103" s="1">
        <v>44317</v>
      </c>
      <c r="B103">
        <v>0.93</v>
      </c>
    </row>
    <row r="104" spans="1:2" x14ac:dyDescent="0.25">
      <c r="A104" s="1">
        <v>44348</v>
      </c>
      <c r="B104">
        <v>0.92800000000000005</v>
      </c>
    </row>
    <row r="105" spans="1:2" x14ac:dyDescent="0.25">
      <c r="A105" s="1">
        <v>44378</v>
      </c>
      <c r="B105">
        <v>0.92500000000000004</v>
      </c>
    </row>
    <row r="106" spans="1:2" x14ac:dyDescent="0.25">
      <c r="A106" s="1">
        <v>44409</v>
      </c>
      <c r="B106">
        <v>0.92700000000000005</v>
      </c>
    </row>
    <row r="107" spans="1:2" x14ac:dyDescent="0.25">
      <c r="A107" s="1">
        <v>44440</v>
      </c>
      <c r="B107">
        <v>0.92700000000000005</v>
      </c>
    </row>
    <row r="108" spans="1:2" x14ac:dyDescent="0.25">
      <c r="A108" s="1">
        <v>44470</v>
      </c>
      <c r="B108">
        <v>0.92700000000000005</v>
      </c>
    </row>
    <row r="109" spans="1:2" x14ac:dyDescent="0.25">
      <c r="A109" s="1">
        <v>44501</v>
      </c>
      <c r="B109">
        <v>0.92900000000000005</v>
      </c>
    </row>
    <row r="110" spans="1:2" x14ac:dyDescent="0.25">
      <c r="A110" s="1">
        <v>44531</v>
      </c>
      <c r="B110">
        <v>0.93100000000000005</v>
      </c>
    </row>
    <row r="111" spans="1:2" x14ac:dyDescent="0.25">
      <c r="A111" s="1">
        <v>44562</v>
      </c>
      <c r="B111">
        <v>0.93799999999999994</v>
      </c>
    </row>
    <row r="112" spans="1:2" x14ac:dyDescent="0.25">
      <c r="A112" s="1">
        <v>44593</v>
      </c>
      <c r="B112">
        <v>0.94399999999999995</v>
      </c>
    </row>
    <row r="113" spans="1:2" x14ac:dyDescent="0.25">
      <c r="A113" s="1">
        <v>44621</v>
      </c>
      <c r="B113">
        <v>0.95</v>
      </c>
    </row>
    <row r="114" spans="1:2" x14ac:dyDescent="0.25">
      <c r="A114" s="1">
        <v>44652</v>
      </c>
      <c r="B114">
        <v>0.95699999999999996</v>
      </c>
    </row>
    <row r="115" spans="1:2" x14ac:dyDescent="0.25">
      <c r="A115" s="1">
        <v>44682</v>
      </c>
      <c r="B115">
        <v>0.96199999999999997</v>
      </c>
    </row>
    <row r="116" spans="1:2" x14ac:dyDescent="0.25">
      <c r="A116" s="1">
        <v>44713</v>
      </c>
      <c r="B116">
        <v>0.97099999999999997</v>
      </c>
    </row>
    <row r="117" spans="1:2" x14ac:dyDescent="0.25">
      <c r="A117" s="1">
        <v>44743</v>
      </c>
      <c r="B117">
        <v>0.97799999999999998</v>
      </c>
    </row>
    <row r="118" spans="1:2" x14ac:dyDescent="0.25">
      <c r="A118" s="1">
        <v>44774</v>
      </c>
      <c r="B118">
        <v>0.98299999999999998</v>
      </c>
    </row>
    <row r="119" spans="1:2" x14ac:dyDescent="0.25">
      <c r="A119" s="1">
        <v>44805</v>
      </c>
      <c r="B119">
        <v>0.98799999999999999</v>
      </c>
    </row>
    <row r="120" spans="1:2" x14ac:dyDescent="0.25">
      <c r="A120" s="1">
        <v>44835</v>
      </c>
      <c r="B120">
        <v>0.99399999999999999</v>
      </c>
    </row>
    <row r="121" spans="1:2" x14ac:dyDescent="0.25">
      <c r="A121" s="1">
        <v>44866</v>
      </c>
      <c r="B121">
        <v>0.996</v>
      </c>
    </row>
    <row r="122" spans="1:2" x14ac:dyDescent="0.25">
      <c r="A122" s="1">
        <v>44896</v>
      </c>
      <c r="B122">
        <v>1.0029999999999999</v>
      </c>
    </row>
    <row r="123" spans="1:2" x14ac:dyDescent="0.25">
      <c r="A123" s="1">
        <v>44927</v>
      </c>
      <c r="B123">
        <v>1.0089999999999999</v>
      </c>
    </row>
    <row r="124" spans="1:2" x14ac:dyDescent="0.25">
      <c r="A124" s="1">
        <v>44958</v>
      </c>
      <c r="B124">
        <v>1.016</v>
      </c>
    </row>
    <row r="125" spans="1:2" x14ac:dyDescent="0.25">
      <c r="A125" s="1">
        <v>44986</v>
      </c>
      <c r="B125">
        <v>1.028</v>
      </c>
    </row>
    <row r="126" spans="1:2" x14ac:dyDescent="0.25">
      <c r="A126" s="1">
        <v>45017</v>
      </c>
      <c r="B126">
        <v>1.034</v>
      </c>
    </row>
    <row r="127" spans="1:2" x14ac:dyDescent="0.25">
      <c r="A127" s="1">
        <v>45047</v>
      </c>
      <c r="B127">
        <v>1.042</v>
      </c>
    </row>
    <row r="128" spans="1:2" x14ac:dyDescent="0.25">
      <c r="A128" s="1">
        <v>45078</v>
      </c>
      <c r="B128">
        <v>1.052</v>
      </c>
    </row>
    <row r="129" spans="1:2" x14ac:dyDescent="0.25">
      <c r="A129" s="1">
        <v>45108</v>
      </c>
      <c r="B129">
        <v>1.0609999999999999</v>
      </c>
    </row>
    <row r="130" spans="1:2" x14ac:dyDescent="0.25">
      <c r="A130" s="1">
        <v>45139</v>
      </c>
      <c r="B130">
        <v>1.071</v>
      </c>
    </row>
    <row r="131" spans="1:2" x14ac:dyDescent="0.25">
      <c r="A131" s="1">
        <v>45170</v>
      </c>
      <c r="B131">
        <v>1.083</v>
      </c>
    </row>
    <row r="132" spans="1:2" x14ac:dyDescent="0.25">
      <c r="A132" s="1">
        <v>45200</v>
      </c>
      <c r="B132">
        <v>1.089</v>
      </c>
    </row>
    <row r="133" spans="1:2" x14ac:dyDescent="0.25">
      <c r="A133" s="1">
        <v>45231</v>
      </c>
      <c r="B133">
        <v>1.0960000000000001</v>
      </c>
    </row>
    <row r="134" spans="1:2" x14ac:dyDescent="0.25">
      <c r="A134" s="1">
        <v>45261</v>
      </c>
      <c r="B134">
        <v>1.1020000000000001</v>
      </c>
    </row>
    <row r="135" spans="1:2" x14ac:dyDescent="0.25">
      <c r="A135" s="1">
        <v>45292</v>
      </c>
      <c r="B135">
        <v>1.107</v>
      </c>
    </row>
    <row r="136" spans="1:2" x14ac:dyDescent="0.25">
      <c r="A136" s="1">
        <v>45323</v>
      </c>
      <c r="B136">
        <v>1.1140000000000001</v>
      </c>
    </row>
    <row r="137" spans="1:2" x14ac:dyDescent="0.25">
      <c r="A137" s="1">
        <v>45352</v>
      </c>
      <c r="B137">
        <v>1.123</v>
      </c>
    </row>
    <row r="138" spans="1:2" x14ac:dyDescent="0.25">
      <c r="A138" s="1">
        <v>45383</v>
      </c>
      <c r="B138">
        <v>1.133</v>
      </c>
    </row>
    <row r="139" spans="1:2" x14ac:dyDescent="0.25">
      <c r="A139" s="1">
        <v>45413</v>
      </c>
      <c r="B139">
        <v>1.1439999999999999</v>
      </c>
    </row>
    <row r="140" spans="1:2" x14ac:dyDescent="0.25">
      <c r="A140" s="1">
        <v>45444</v>
      </c>
      <c r="B140">
        <v>1.1579999999999999</v>
      </c>
    </row>
    <row r="141" spans="1:2" x14ac:dyDescent="0.25">
      <c r="A141" s="1">
        <v>45474</v>
      </c>
      <c r="B141">
        <v>1.165</v>
      </c>
    </row>
    <row r="142" spans="1:2" x14ac:dyDescent="0.25">
      <c r="A142" s="1">
        <v>45505</v>
      </c>
      <c r="B142">
        <v>1.1819999999999999</v>
      </c>
    </row>
    <row r="143" spans="1:2" x14ac:dyDescent="0.25">
      <c r="A143" s="1">
        <v>45536</v>
      </c>
      <c r="B143">
        <v>1.1930000000000001</v>
      </c>
    </row>
    <row r="144" spans="1:2" x14ac:dyDescent="0.25">
      <c r="A144" s="1">
        <v>45566</v>
      </c>
      <c r="B144">
        <v>1.2</v>
      </c>
    </row>
    <row r="145" spans="1:2" x14ac:dyDescent="0.25">
      <c r="A145" s="1">
        <v>45597</v>
      </c>
      <c r="B145">
        <v>1.21</v>
      </c>
    </row>
    <row r="146" spans="1:2" x14ac:dyDescent="0.25">
      <c r="A146" s="1">
        <v>45627</v>
      </c>
      <c r="B146">
        <f>AVERAGE(B143:B145)</f>
        <v>1.2009999999999998</v>
      </c>
    </row>
  </sheetData>
  <hyperlinks>
    <hyperlink ref="C1" r:id="rId1" location="/" xr:uid="{00C0D5E6-8FFF-49AF-99B5-DC4A1DE79E8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7962-FB33-4B4C-96FD-B9076377DF02}">
  <dimension ref="A1:Q147"/>
  <sheetViews>
    <sheetView showGridLines="0" zoomScaleNormal="100" workbookViewId="0">
      <pane xSplit="1" ySplit="2" topLeftCell="B3" activePane="bottomRight" state="frozen"/>
      <selection activeCell="C4" sqref="C4:C146"/>
      <selection pane="topRight" activeCell="C4" sqref="C4:C146"/>
      <selection pane="bottomLeft" activeCell="C4" sqref="C4:C146"/>
      <selection pane="bottomRight" activeCell="H32" sqref="H32"/>
    </sheetView>
  </sheetViews>
  <sheetFormatPr defaultRowHeight="15" x14ac:dyDescent="0.25"/>
  <cols>
    <col min="1" max="1" width="11" customWidth="1"/>
    <col min="2" max="2" width="10" style="37" customWidth="1"/>
    <col min="3" max="4" width="13" customWidth="1"/>
    <col min="5" max="5" width="9" customWidth="1"/>
    <col min="6" max="6" width="11" customWidth="1"/>
    <col min="7" max="7" width="13" customWidth="1"/>
    <col min="8" max="8" width="30" customWidth="1"/>
    <col min="9" max="9" width="20" customWidth="1"/>
    <col min="10" max="10" width="8" customWidth="1"/>
    <col min="11" max="11" width="10" customWidth="1"/>
    <col min="12" max="13" width="17" customWidth="1"/>
    <col min="14" max="14" width="10" customWidth="1"/>
    <col min="15" max="15" width="20" customWidth="1"/>
    <col min="16" max="16" width="16" customWidth="1"/>
    <col min="17" max="17" width="22" customWidth="1"/>
  </cols>
  <sheetData>
    <row r="1" spans="1:17" ht="21.95" customHeight="1" x14ac:dyDescent="0.25">
      <c r="A1" s="39" t="s">
        <v>168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7" ht="15.95" customHeight="1" x14ac:dyDescent="0.25">
      <c r="A2" s="41" t="s">
        <v>169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7" ht="42" customHeight="1" x14ac:dyDescent="0.25">
      <c r="A3" s="10" t="s">
        <v>0</v>
      </c>
      <c r="B3" s="20" t="s">
        <v>170</v>
      </c>
      <c r="C3" s="11" t="s">
        <v>14</v>
      </c>
      <c r="D3" s="11"/>
      <c r="E3" s="11" t="s">
        <v>15</v>
      </c>
      <c r="F3" s="11" t="s">
        <v>7</v>
      </c>
      <c r="G3" s="11" t="s">
        <v>16</v>
      </c>
      <c r="H3" s="11" t="s">
        <v>17</v>
      </c>
      <c r="I3" s="11" t="s">
        <v>18</v>
      </c>
      <c r="J3" s="11" t="s">
        <v>8</v>
      </c>
      <c r="K3" s="11" t="s">
        <v>6</v>
      </c>
      <c r="L3" s="11" t="s">
        <v>19</v>
      </c>
      <c r="M3" s="11" t="s">
        <v>20</v>
      </c>
      <c r="N3" s="11" t="s">
        <v>9</v>
      </c>
      <c r="O3" s="11" t="s">
        <v>21</v>
      </c>
      <c r="P3" s="11" t="s">
        <v>22</v>
      </c>
      <c r="Q3" s="11" t="s">
        <v>23</v>
      </c>
    </row>
    <row r="4" spans="1:17" ht="15" customHeight="1" x14ac:dyDescent="0.25">
      <c r="A4" s="21" t="s">
        <v>24</v>
      </c>
      <c r="B4" s="22" t="s">
        <v>171</v>
      </c>
      <c r="C4" s="23">
        <v>117.48</v>
      </c>
      <c r="D4" s="23"/>
      <c r="E4" s="23">
        <v>141.9</v>
      </c>
      <c r="F4" s="23">
        <v>136.57</v>
      </c>
      <c r="G4" s="23">
        <v>121.55</v>
      </c>
      <c r="H4" s="23">
        <v>100.91</v>
      </c>
      <c r="I4" s="23">
        <v>128.16999999999999</v>
      </c>
      <c r="J4" s="23">
        <v>124.16</v>
      </c>
      <c r="K4" s="23">
        <v>131.93</v>
      </c>
      <c r="L4" s="23">
        <v>90.39</v>
      </c>
      <c r="M4" s="23">
        <v>108.83</v>
      </c>
      <c r="N4" s="23">
        <v>174</v>
      </c>
      <c r="O4" s="23">
        <v>144.12</v>
      </c>
      <c r="P4" s="24"/>
      <c r="Q4" s="23">
        <v>129.59</v>
      </c>
    </row>
    <row r="5" spans="1:17" ht="15" customHeight="1" x14ac:dyDescent="0.25">
      <c r="A5" s="21" t="s">
        <v>25</v>
      </c>
      <c r="B5" s="25" t="s">
        <v>171</v>
      </c>
      <c r="C5" s="26">
        <v>117.97</v>
      </c>
      <c r="D5" s="15">
        <f>C5/C4-1</f>
        <v>4.170922710248437E-3</v>
      </c>
      <c r="E5" s="26">
        <v>140.88</v>
      </c>
      <c r="F5" s="26">
        <v>136.57</v>
      </c>
      <c r="G5" s="26">
        <v>121.55</v>
      </c>
      <c r="H5" s="26">
        <v>101.56</v>
      </c>
      <c r="I5" s="26">
        <v>127.98</v>
      </c>
      <c r="J5" s="26">
        <v>123.77</v>
      </c>
      <c r="K5" s="26">
        <v>132.1</v>
      </c>
      <c r="L5" s="26">
        <v>90.34</v>
      </c>
      <c r="M5" s="26">
        <v>108.83</v>
      </c>
      <c r="N5" s="26">
        <v>174</v>
      </c>
      <c r="O5" s="26">
        <v>147.65</v>
      </c>
      <c r="P5" s="27"/>
      <c r="Q5" s="26">
        <v>131.72999999999999</v>
      </c>
    </row>
    <row r="6" spans="1:17" ht="15" customHeight="1" x14ac:dyDescent="0.25">
      <c r="A6" s="21" t="s">
        <v>26</v>
      </c>
      <c r="B6" s="22" t="s">
        <v>171</v>
      </c>
      <c r="C6" s="23">
        <v>118.52</v>
      </c>
      <c r="D6" s="15">
        <f t="shared" ref="D6:D69" si="0">C6/C5-1</f>
        <v>4.6622022548106212E-3</v>
      </c>
      <c r="E6" s="23">
        <v>142.59</v>
      </c>
      <c r="F6" s="23">
        <v>136.57</v>
      </c>
      <c r="G6" s="23">
        <v>121.43</v>
      </c>
      <c r="H6" s="23">
        <v>101.93</v>
      </c>
      <c r="I6" s="23">
        <v>133.88</v>
      </c>
      <c r="J6" s="23">
        <v>124.29</v>
      </c>
      <c r="K6" s="23">
        <v>132.02000000000001</v>
      </c>
      <c r="L6" s="23">
        <v>90.35</v>
      </c>
      <c r="M6" s="23">
        <v>108.18</v>
      </c>
      <c r="N6" s="23">
        <v>175.47</v>
      </c>
      <c r="O6" s="23">
        <v>147.69</v>
      </c>
      <c r="P6" s="24"/>
      <c r="Q6" s="23">
        <v>132.25</v>
      </c>
    </row>
    <row r="7" spans="1:17" ht="15" customHeight="1" x14ac:dyDescent="0.25">
      <c r="A7" s="21" t="s">
        <v>27</v>
      </c>
      <c r="B7" s="25" t="s">
        <v>171</v>
      </c>
      <c r="C7" s="26">
        <v>118.63</v>
      </c>
      <c r="D7" s="15">
        <f t="shared" si="0"/>
        <v>9.2811339858256403E-4</v>
      </c>
      <c r="E7" s="26">
        <v>140.16</v>
      </c>
      <c r="F7" s="26">
        <v>136.57</v>
      </c>
      <c r="G7" s="26">
        <v>121.43</v>
      </c>
      <c r="H7" s="26">
        <v>102.57</v>
      </c>
      <c r="I7" s="26">
        <v>134.02000000000001</v>
      </c>
      <c r="J7" s="26">
        <v>124.29</v>
      </c>
      <c r="K7" s="26">
        <v>131.94</v>
      </c>
      <c r="L7" s="26">
        <v>91.72</v>
      </c>
      <c r="M7" s="26">
        <v>108.18</v>
      </c>
      <c r="N7" s="26">
        <v>175.47</v>
      </c>
      <c r="O7" s="26">
        <v>147.66</v>
      </c>
      <c r="P7" s="27"/>
      <c r="Q7" s="26">
        <v>131.65</v>
      </c>
    </row>
    <row r="8" spans="1:17" ht="15" customHeight="1" x14ac:dyDescent="0.25">
      <c r="A8" s="21" t="s">
        <v>28</v>
      </c>
      <c r="B8" s="22" t="s">
        <v>171</v>
      </c>
      <c r="C8" s="23">
        <v>118.84</v>
      </c>
      <c r="D8" s="15">
        <f t="shared" si="0"/>
        <v>1.770209896316377E-3</v>
      </c>
      <c r="E8" s="23">
        <v>141.82</v>
      </c>
      <c r="F8" s="23">
        <v>136.57</v>
      </c>
      <c r="G8" s="23">
        <v>121.43</v>
      </c>
      <c r="H8" s="23">
        <v>102.61</v>
      </c>
      <c r="I8" s="23">
        <v>133.96</v>
      </c>
      <c r="J8" s="23">
        <v>124.6</v>
      </c>
      <c r="K8" s="23">
        <v>131.82</v>
      </c>
      <c r="L8" s="23">
        <v>91.75</v>
      </c>
      <c r="M8" s="23">
        <v>107.97</v>
      </c>
      <c r="N8" s="23">
        <v>175.47</v>
      </c>
      <c r="O8" s="23">
        <v>147.6</v>
      </c>
      <c r="P8" s="24"/>
      <c r="Q8" s="23">
        <v>132.07</v>
      </c>
    </row>
    <row r="9" spans="1:17" ht="15" customHeight="1" x14ac:dyDescent="0.25">
      <c r="A9" s="21" t="s">
        <v>29</v>
      </c>
      <c r="B9" s="25" t="s">
        <v>171</v>
      </c>
      <c r="C9" s="26">
        <v>119.39</v>
      </c>
      <c r="D9" s="15">
        <f t="shared" si="0"/>
        <v>4.6280713564457177E-3</v>
      </c>
      <c r="E9" s="26">
        <v>144.18</v>
      </c>
      <c r="F9" s="26">
        <v>143.84</v>
      </c>
      <c r="G9" s="26">
        <v>120.77</v>
      </c>
      <c r="H9" s="26">
        <v>102.78</v>
      </c>
      <c r="I9" s="26">
        <v>133.97</v>
      </c>
      <c r="J9" s="26">
        <v>124.6</v>
      </c>
      <c r="K9" s="26">
        <v>134.13999999999999</v>
      </c>
      <c r="L9" s="26">
        <v>91.75</v>
      </c>
      <c r="M9" s="26">
        <v>107.83</v>
      </c>
      <c r="N9" s="26">
        <v>175.47</v>
      </c>
      <c r="O9" s="26">
        <v>148.56</v>
      </c>
      <c r="P9" s="27"/>
      <c r="Q9" s="26">
        <v>132.01</v>
      </c>
    </row>
    <row r="10" spans="1:17" ht="15" customHeight="1" x14ac:dyDescent="0.25">
      <c r="A10" s="21" t="s">
        <v>30</v>
      </c>
      <c r="B10" s="22" t="s">
        <v>171</v>
      </c>
      <c r="C10" s="23">
        <v>119.94</v>
      </c>
      <c r="D10" s="15">
        <f t="shared" si="0"/>
        <v>4.6067509841694054E-3</v>
      </c>
      <c r="E10" s="23">
        <v>143.36000000000001</v>
      </c>
      <c r="F10" s="23">
        <v>143.84</v>
      </c>
      <c r="G10" s="23">
        <v>120.77</v>
      </c>
      <c r="H10" s="23">
        <v>103.96</v>
      </c>
      <c r="I10" s="23">
        <v>134.18</v>
      </c>
      <c r="J10" s="23">
        <v>124.6</v>
      </c>
      <c r="K10" s="23">
        <v>134.41</v>
      </c>
      <c r="L10" s="23">
        <v>92.53</v>
      </c>
      <c r="M10" s="23">
        <v>107.72</v>
      </c>
      <c r="N10" s="23">
        <v>175.47</v>
      </c>
      <c r="O10" s="23">
        <v>148.47999999999999</v>
      </c>
      <c r="P10" s="24"/>
      <c r="Q10" s="23">
        <v>132.62</v>
      </c>
    </row>
    <row r="11" spans="1:17" ht="15" customHeight="1" x14ac:dyDescent="0.25">
      <c r="A11" s="21" t="s">
        <v>31</v>
      </c>
      <c r="B11" s="25" t="s">
        <v>171</v>
      </c>
      <c r="C11" s="26">
        <v>120.7</v>
      </c>
      <c r="D11" s="15">
        <f t="shared" si="0"/>
        <v>6.3365015841254646E-3</v>
      </c>
      <c r="E11" s="26">
        <v>146.96</v>
      </c>
      <c r="F11" s="26">
        <v>143.84</v>
      </c>
      <c r="G11" s="26">
        <v>120.77</v>
      </c>
      <c r="H11" s="26">
        <v>104.41</v>
      </c>
      <c r="I11" s="26">
        <v>134.24</v>
      </c>
      <c r="J11" s="26">
        <v>125.12</v>
      </c>
      <c r="K11" s="26">
        <v>134.41999999999999</v>
      </c>
      <c r="L11" s="26">
        <v>92.55</v>
      </c>
      <c r="M11" s="26">
        <v>108.35</v>
      </c>
      <c r="N11" s="26">
        <v>175.47</v>
      </c>
      <c r="O11" s="26">
        <v>150.16</v>
      </c>
      <c r="P11" s="27"/>
      <c r="Q11" s="26">
        <v>133.16999999999999</v>
      </c>
    </row>
    <row r="12" spans="1:17" ht="15" customHeight="1" x14ac:dyDescent="0.25">
      <c r="A12" s="21" t="s">
        <v>32</v>
      </c>
      <c r="B12" s="22" t="s">
        <v>171</v>
      </c>
      <c r="C12" s="23">
        <v>121.62</v>
      </c>
      <c r="D12" s="15">
        <f t="shared" si="0"/>
        <v>7.6222038111020129E-3</v>
      </c>
      <c r="E12" s="23">
        <v>148.85</v>
      </c>
      <c r="F12" s="23">
        <v>149.34</v>
      </c>
      <c r="G12" s="23">
        <v>129.94999999999999</v>
      </c>
      <c r="H12" s="23">
        <v>104.77</v>
      </c>
      <c r="I12" s="23">
        <v>134.97</v>
      </c>
      <c r="J12" s="23">
        <v>125.12</v>
      </c>
      <c r="K12" s="23">
        <v>133.77000000000001</v>
      </c>
      <c r="L12" s="23">
        <v>92.52</v>
      </c>
      <c r="M12" s="23">
        <v>108.5</v>
      </c>
      <c r="N12" s="23">
        <v>178.53</v>
      </c>
      <c r="O12" s="23">
        <v>150.16999999999999</v>
      </c>
      <c r="P12" s="24"/>
      <c r="Q12" s="23">
        <v>132.38999999999999</v>
      </c>
    </row>
    <row r="13" spans="1:17" ht="15" customHeight="1" x14ac:dyDescent="0.25">
      <c r="A13" s="21" t="s">
        <v>33</v>
      </c>
      <c r="B13" s="25" t="s">
        <v>171</v>
      </c>
      <c r="C13" s="26">
        <v>121.85</v>
      </c>
      <c r="D13" s="15">
        <f t="shared" si="0"/>
        <v>1.8911363262621439E-3</v>
      </c>
      <c r="E13" s="26">
        <v>149.53</v>
      </c>
      <c r="F13" s="26">
        <v>149.34</v>
      </c>
      <c r="G13" s="26">
        <v>129.94999999999999</v>
      </c>
      <c r="H13" s="26">
        <v>105.19</v>
      </c>
      <c r="I13" s="26">
        <v>134.97999999999999</v>
      </c>
      <c r="J13" s="26">
        <v>125.12</v>
      </c>
      <c r="K13" s="26">
        <v>133.66</v>
      </c>
      <c r="L13" s="26">
        <v>92.52</v>
      </c>
      <c r="M13" s="26">
        <v>108.5</v>
      </c>
      <c r="N13" s="26">
        <v>178.53</v>
      </c>
      <c r="O13" s="26">
        <v>150.19999999999999</v>
      </c>
      <c r="P13" s="27"/>
      <c r="Q13" s="26">
        <v>131.82</v>
      </c>
    </row>
    <row r="14" spans="1:17" ht="15" customHeight="1" x14ac:dyDescent="0.25">
      <c r="A14" s="21" t="s">
        <v>34</v>
      </c>
      <c r="B14" s="22" t="s">
        <v>171</v>
      </c>
      <c r="C14" s="23">
        <v>121.85</v>
      </c>
      <c r="D14" s="15">
        <f t="shared" si="0"/>
        <v>0</v>
      </c>
      <c r="E14" s="23">
        <v>147.30000000000001</v>
      </c>
      <c r="F14" s="23">
        <v>149.34</v>
      </c>
      <c r="G14" s="23">
        <v>129.94999999999999</v>
      </c>
      <c r="H14" s="23">
        <v>105.67</v>
      </c>
      <c r="I14" s="23">
        <v>135.15</v>
      </c>
      <c r="J14" s="23">
        <v>125.12</v>
      </c>
      <c r="K14" s="23">
        <v>133.91</v>
      </c>
      <c r="L14" s="23">
        <v>92.49</v>
      </c>
      <c r="M14" s="23">
        <v>108.3</v>
      </c>
      <c r="N14" s="23">
        <v>178.53</v>
      </c>
      <c r="O14" s="23">
        <v>150.16999999999999</v>
      </c>
      <c r="P14" s="24"/>
      <c r="Q14" s="23">
        <v>132.19</v>
      </c>
    </row>
    <row r="15" spans="1:17" ht="15" customHeight="1" x14ac:dyDescent="0.25">
      <c r="A15" s="17" t="s">
        <v>35</v>
      </c>
      <c r="B15" s="28" t="s">
        <v>171</v>
      </c>
      <c r="C15" s="18">
        <v>121.82</v>
      </c>
      <c r="D15" s="15">
        <f t="shared" si="0"/>
        <v>-2.4620434961020177E-4</v>
      </c>
      <c r="E15" s="18">
        <v>142.22999999999999</v>
      </c>
      <c r="F15" s="18">
        <v>149.34</v>
      </c>
      <c r="G15" s="18">
        <v>131.66</v>
      </c>
      <c r="H15" s="18">
        <v>106.54</v>
      </c>
      <c r="I15" s="18">
        <v>135.88999999999999</v>
      </c>
      <c r="J15" s="18">
        <v>125.77</v>
      </c>
      <c r="K15" s="18">
        <v>134.22999999999999</v>
      </c>
      <c r="L15" s="18">
        <v>92.51</v>
      </c>
      <c r="M15" s="18">
        <v>107.97</v>
      </c>
      <c r="N15" s="18">
        <v>178.53</v>
      </c>
      <c r="O15" s="18">
        <v>150.21</v>
      </c>
      <c r="P15" s="19"/>
      <c r="Q15" s="18">
        <v>132.28</v>
      </c>
    </row>
    <row r="16" spans="1:17" ht="15" customHeight="1" x14ac:dyDescent="0.25">
      <c r="A16" s="29" t="s">
        <v>36</v>
      </c>
      <c r="B16" s="30" t="s">
        <v>172</v>
      </c>
      <c r="C16" s="14">
        <v>101.21</v>
      </c>
      <c r="D16" s="15">
        <f t="shared" si="0"/>
        <v>-0.16918404202922344</v>
      </c>
      <c r="E16" s="14">
        <v>97.45</v>
      </c>
      <c r="F16" s="14">
        <v>105.32</v>
      </c>
      <c r="G16" s="14">
        <v>105.09</v>
      </c>
      <c r="H16" s="14">
        <v>103.04</v>
      </c>
      <c r="I16" s="14">
        <v>100.32</v>
      </c>
      <c r="J16" s="14">
        <v>100.97</v>
      </c>
      <c r="K16" s="14">
        <v>98.18</v>
      </c>
      <c r="L16" s="14">
        <v>100.89</v>
      </c>
      <c r="M16" s="14">
        <v>99.97</v>
      </c>
      <c r="N16" s="14">
        <v>101.35</v>
      </c>
      <c r="O16" s="14">
        <v>100.48</v>
      </c>
      <c r="P16" s="16"/>
      <c r="Q16" s="14">
        <v>101.52</v>
      </c>
    </row>
    <row r="17" spans="1:17" ht="15" customHeight="1" x14ac:dyDescent="0.25">
      <c r="A17" s="29" t="s">
        <v>37</v>
      </c>
      <c r="B17" s="31" t="s">
        <v>172</v>
      </c>
      <c r="C17" s="12">
        <v>101.43</v>
      </c>
      <c r="D17" s="15">
        <f t="shared" si="0"/>
        <v>2.1736982511610936E-3</v>
      </c>
      <c r="E17" s="12">
        <v>97.83</v>
      </c>
      <c r="F17" s="12">
        <v>105.32</v>
      </c>
      <c r="G17" s="12">
        <v>105.09</v>
      </c>
      <c r="H17" s="12">
        <v>103.58</v>
      </c>
      <c r="I17" s="12">
        <v>100.5</v>
      </c>
      <c r="J17" s="12">
        <v>100.97</v>
      </c>
      <c r="K17" s="12">
        <v>97.47</v>
      </c>
      <c r="L17" s="12">
        <v>100.89</v>
      </c>
      <c r="M17" s="12">
        <v>99.78</v>
      </c>
      <c r="N17" s="12">
        <v>101.35</v>
      </c>
      <c r="O17" s="12">
        <v>100.5</v>
      </c>
      <c r="P17" s="13"/>
      <c r="Q17" s="12">
        <v>101.61</v>
      </c>
    </row>
    <row r="18" spans="1:17" ht="15" customHeight="1" x14ac:dyDescent="0.25">
      <c r="A18" s="29" t="s">
        <v>38</v>
      </c>
      <c r="B18" s="30" t="s">
        <v>172</v>
      </c>
      <c r="C18" s="14">
        <v>101.81</v>
      </c>
      <c r="D18" s="15">
        <f t="shared" si="0"/>
        <v>3.7464261066744164E-3</v>
      </c>
      <c r="E18" s="14">
        <v>97.84</v>
      </c>
      <c r="F18" s="14">
        <v>104.4</v>
      </c>
      <c r="G18" s="14">
        <v>104.67</v>
      </c>
      <c r="H18" s="14">
        <v>104.21</v>
      </c>
      <c r="I18" s="14">
        <v>100.83</v>
      </c>
      <c r="J18" s="14">
        <v>102.08</v>
      </c>
      <c r="K18" s="14">
        <v>97.74</v>
      </c>
      <c r="L18" s="14">
        <v>100.53</v>
      </c>
      <c r="M18" s="14">
        <v>99.46</v>
      </c>
      <c r="N18" s="14">
        <v>101.35</v>
      </c>
      <c r="O18" s="14">
        <v>101.69</v>
      </c>
      <c r="P18" s="16"/>
      <c r="Q18" s="14">
        <v>101.34</v>
      </c>
    </row>
    <row r="19" spans="1:17" ht="15" customHeight="1" x14ac:dyDescent="0.25">
      <c r="A19" s="29" t="s">
        <v>39</v>
      </c>
      <c r="B19" s="31" t="s">
        <v>172</v>
      </c>
      <c r="C19" s="12">
        <v>102.13</v>
      </c>
      <c r="D19" s="15">
        <f t="shared" si="0"/>
        <v>3.1431097141734199E-3</v>
      </c>
      <c r="E19" s="12">
        <v>98.02</v>
      </c>
      <c r="F19" s="12">
        <v>104.4</v>
      </c>
      <c r="G19" s="12">
        <v>104.67</v>
      </c>
      <c r="H19" s="12">
        <v>104.83</v>
      </c>
      <c r="I19" s="12">
        <v>100.83</v>
      </c>
      <c r="J19" s="12">
        <v>102.08</v>
      </c>
      <c r="K19" s="12">
        <v>97.07</v>
      </c>
      <c r="L19" s="12">
        <v>100.53</v>
      </c>
      <c r="M19" s="12">
        <v>99.51</v>
      </c>
      <c r="N19" s="12">
        <v>101.89</v>
      </c>
      <c r="O19" s="12">
        <v>101.35</v>
      </c>
      <c r="P19" s="13"/>
      <c r="Q19" s="12">
        <v>102.56</v>
      </c>
    </row>
    <row r="20" spans="1:17" ht="15" customHeight="1" x14ac:dyDescent="0.25">
      <c r="A20" s="29" t="s">
        <v>40</v>
      </c>
      <c r="B20" s="30" t="s">
        <v>172</v>
      </c>
      <c r="C20" s="14">
        <v>102.66</v>
      </c>
      <c r="D20" s="15">
        <f t="shared" si="0"/>
        <v>5.1894644081074137E-3</v>
      </c>
      <c r="E20" s="14">
        <v>99.9</v>
      </c>
      <c r="F20" s="14">
        <v>104.4</v>
      </c>
      <c r="G20" s="14">
        <v>104.67</v>
      </c>
      <c r="H20" s="14">
        <v>105.37</v>
      </c>
      <c r="I20" s="14">
        <v>100.79</v>
      </c>
      <c r="J20" s="14">
        <v>102.08</v>
      </c>
      <c r="K20" s="14">
        <v>97.67</v>
      </c>
      <c r="L20" s="14">
        <v>100.53</v>
      </c>
      <c r="M20" s="14">
        <v>99.51</v>
      </c>
      <c r="N20" s="14">
        <v>101.89</v>
      </c>
      <c r="O20" s="14">
        <v>100.99</v>
      </c>
      <c r="P20" s="16"/>
      <c r="Q20" s="14">
        <v>102.57</v>
      </c>
    </row>
    <row r="21" spans="1:17" ht="15" customHeight="1" x14ac:dyDescent="0.25">
      <c r="A21" s="29" t="s">
        <v>41</v>
      </c>
      <c r="B21" s="31" t="s">
        <v>172</v>
      </c>
      <c r="C21" s="12">
        <v>103.24</v>
      </c>
      <c r="D21" s="15">
        <f t="shared" si="0"/>
        <v>5.6497175141243527E-3</v>
      </c>
      <c r="E21" s="12">
        <v>101.36</v>
      </c>
      <c r="F21" s="12">
        <v>104.4</v>
      </c>
      <c r="G21" s="12">
        <v>103.64</v>
      </c>
      <c r="H21" s="12">
        <v>105.91</v>
      </c>
      <c r="I21" s="12">
        <v>100.76</v>
      </c>
      <c r="J21" s="12">
        <v>102.08</v>
      </c>
      <c r="K21" s="12">
        <v>99.9</v>
      </c>
      <c r="L21" s="12">
        <v>100.53</v>
      </c>
      <c r="M21" s="12">
        <v>99.44</v>
      </c>
      <c r="N21" s="12">
        <v>101.89</v>
      </c>
      <c r="O21" s="12">
        <v>100.56</v>
      </c>
      <c r="P21" s="13"/>
      <c r="Q21" s="12">
        <v>102.57</v>
      </c>
    </row>
    <row r="22" spans="1:17" ht="15" customHeight="1" x14ac:dyDescent="0.25">
      <c r="A22" s="29" t="s">
        <v>42</v>
      </c>
      <c r="B22" s="30" t="s">
        <v>172</v>
      </c>
      <c r="C22" s="14">
        <v>104.2</v>
      </c>
      <c r="D22" s="15">
        <f t="shared" si="0"/>
        <v>9.298721425804013E-3</v>
      </c>
      <c r="E22" s="14">
        <v>103.62</v>
      </c>
      <c r="F22" s="14">
        <v>104.4</v>
      </c>
      <c r="G22" s="14">
        <v>103.64</v>
      </c>
      <c r="H22" s="14">
        <v>106.44</v>
      </c>
      <c r="I22" s="14">
        <v>110.1</v>
      </c>
      <c r="J22" s="14">
        <v>102.06</v>
      </c>
      <c r="K22" s="14">
        <v>99.62</v>
      </c>
      <c r="L22" s="14">
        <v>100.53</v>
      </c>
      <c r="M22" s="14">
        <v>101.13</v>
      </c>
      <c r="N22" s="14">
        <v>101.89</v>
      </c>
      <c r="O22" s="14">
        <v>102.22</v>
      </c>
      <c r="P22" s="16"/>
      <c r="Q22" s="14">
        <v>103.03</v>
      </c>
    </row>
    <row r="23" spans="1:17" ht="15" customHeight="1" x14ac:dyDescent="0.25">
      <c r="A23" s="29" t="s">
        <v>43</v>
      </c>
      <c r="B23" s="31" t="s">
        <v>172</v>
      </c>
      <c r="C23" s="12">
        <v>105.71</v>
      </c>
      <c r="D23" s="15">
        <f t="shared" si="0"/>
        <v>1.4491362763915383E-2</v>
      </c>
      <c r="E23" s="12">
        <v>101.4</v>
      </c>
      <c r="F23" s="12">
        <v>103.85</v>
      </c>
      <c r="G23" s="12">
        <v>103.64</v>
      </c>
      <c r="H23" s="12">
        <v>106.99</v>
      </c>
      <c r="I23" s="12">
        <v>110.37</v>
      </c>
      <c r="J23" s="12">
        <v>101.3</v>
      </c>
      <c r="K23" s="12">
        <v>113.97</v>
      </c>
      <c r="L23" s="12">
        <v>100.89</v>
      </c>
      <c r="M23" s="12">
        <v>101.04</v>
      </c>
      <c r="N23" s="12">
        <v>101.89</v>
      </c>
      <c r="O23" s="12">
        <v>102.57</v>
      </c>
      <c r="P23" s="13"/>
      <c r="Q23" s="12">
        <v>103.29</v>
      </c>
    </row>
    <row r="24" spans="1:17" ht="15" customHeight="1" x14ac:dyDescent="0.25">
      <c r="A24" s="29" t="s">
        <v>44</v>
      </c>
      <c r="B24" s="30" t="s">
        <v>172</v>
      </c>
      <c r="C24" s="14">
        <v>105.84</v>
      </c>
      <c r="D24" s="15">
        <f t="shared" si="0"/>
        <v>1.2297795856590632E-3</v>
      </c>
      <c r="E24" s="14">
        <v>102.7</v>
      </c>
      <c r="F24" s="14">
        <v>103.85</v>
      </c>
      <c r="G24" s="14">
        <v>106.96</v>
      </c>
      <c r="H24" s="14">
        <v>107.48</v>
      </c>
      <c r="I24" s="14">
        <v>110.02</v>
      </c>
      <c r="J24" s="14">
        <v>101.3</v>
      </c>
      <c r="K24" s="14">
        <v>107.79</v>
      </c>
      <c r="L24" s="14">
        <v>100.89</v>
      </c>
      <c r="M24" s="14">
        <v>101.46</v>
      </c>
      <c r="N24" s="14">
        <v>106.07</v>
      </c>
      <c r="O24" s="14">
        <v>103.12</v>
      </c>
      <c r="P24" s="16"/>
      <c r="Q24" s="14">
        <v>103.4</v>
      </c>
    </row>
    <row r="25" spans="1:17" ht="15" customHeight="1" x14ac:dyDescent="0.25">
      <c r="A25" s="29" t="s">
        <v>45</v>
      </c>
      <c r="B25" s="31" t="s">
        <v>172</v>
      </c>
      <c r="C25" s="12">
        <v>105.17</v>
      </c>
      <c r="D25" s="15">
        <f t="shared" si="0"/>
        <v>-6.3303099017384401E-3</v>
      </c>
      <c r="E25" s="12">
        <v>102.64</v>
      </c>
      <c r="F25" s="12">
        <v>103.85</v>
      </c>
      <c r="G25" s="12">
        <v>106.96</v>
      </c>
      <c r="H25" s="12">
        <v>107.9</v>
      </c>
      <c r="I25" s="12">
        <v>110.01</v>
      </c>
      <c r="J25" s="12">
        <v>101.3</v>
      </c>
      <c r="K25" s="12">
        <v>99.61</v>
      </c>
      <c r="L25" s="12">
        <v>100.89</v>
      </c>
      <c r="M25" s="12">
        <v>101.57</v>
      </c>
      <c r="N25" s="12">
        <v>106.07</v>
      </c>
      <c r="O25" s="12">
        <v>103.45</v>
      </c>
      <c r="P25" s="13"/>
      <c r="Q25" s="12">
        <v>103.58</v>
      </c>
    </row>
    <row r="26" spans="1:17" ht="15" customHeight="1" x14ac:dyDescent="0.25">
      <c r="A26" s="29" t="s">
        <v>46</v>
      </c>
      <c r="B26" s="30" t="s">
        <v>172</v>
      </c>
      <c r="C26" s="14">
        <v>105.02</v>
      </c>
      <c r="D26" s="15">
        <f t="shared" si="0"/>
        <v>-1.4262622420843085E-3</v>
      </c>
      <c r="E26" s="14">
        <v>101.38</v>
      </c>
      <c r="F26" s="14">
        <v>105.06</v>
      </c>
      <c r="G26" s="14">
        <v>106.96</v>
      </c>
      <c r="H26" s="14">
        <v>108.32</v>
      </c>
      <c r="I26" s="14">
        <v>110.17</v>
      </c>
      <c r="J26" s="14">
        <v>101.3</v>
      </c>
      <c r="K26" s="14">
        <v>98</v>
      </c>
      <c r="L26" s="14">
        <v>100.89</v>
      </c>
      <c r="M26" s="14">
        <v>101.49</v>
      </c>
      <c r="N26" s="14">
        <v>106.07</v>
      </c>
      <c r="O26" s="14">
        <v>103.3</v>
      </c>
      <c r="P26" s="16"/>
      <c r="Q26" s="14">
        <v>103.6</v>
      </c>
    </row>
    <row r="27" spans="1:17" ht="15" customHeight="1" x14ac:dyDescent="0.25">
      <c r="A27" s="29" t="s">
        <v>47</v>
      </c>
      <c r="B27" s="31" t="s">
        <v>172</v>
      </c>
      <c r="C27" s="12">
        <v>105.43</v>
      </c>
      <c r="D27" s="15">
        <f t="shared" si="0"/>
        <v>3.9040182822320801E-3</v>
      </c>
      <c r="E27" s="12">
        <v>101.71</v>
      </c>
      <c r="F27" s="12">
        <v>105.32</v>
      </c>
      <c r="G27" s="12">
        <v>99.75</v>
      </c>
      <c r="H27" s="12">
        <v>108.7</v>
      </c>
      <c r="I27" s="12">
        <v>110.14</v>
      </c>
      <c r="J27" s="12">
        <v>100.97</v>
      </c>
      <c r="K27" s="12">
        <v>100.94</v>
      </c>
      <c r="L27" s="12">
        <v>100.53</v>
      </c>
      <c r="M27" s="12">
        <v>101.44</v>
      </c>
      <c r="N27" s="12">
        <v>106.07</v>
      </c>
      <c r="O27" s="12">
        <v>103.4</v>
      </c>
      <c r="P27" s="13"/>
      <c r="Q27" s="12">
        <v>103.5</v>
      </c>
    </row>
    <row r="28" spans="1:17" ht="15" customHeight="1" x14ac:dyDescent="0.25">
      <c r="A28" s="29" t="s">
        <v>48</v>
      </c>
      <c r="B28" s="30" t="s">
        <v>172</v>
      </c>
      <c r="C28" s="14">
        <v>104.85</v>
      </c>
      <c r="D28" s="15">
        <f t="shared" si="0"/>
        <v>-5.5012804704543949E-3</v>
      </c>
      <c r="E28" s="14">
        <v>99.64</v>
      </c>
      <c r="F28" s="14">
        <v>104.42</v>
      </c>
      <c r="G28" s="14">
        <v>99.75</v>
      </c>
      <c r="H28" s="14">
        <v>109.43</v>
      </c>
      <c r="I28" s="14">
        <v>110.15</v>
      </c>
      <c r="J28" s="14">
        <v>101.84</v>
      </c>
      <c r="K28" s="14">
        <v>95.3</v>
      </c>
      <c r="L28" s="14">
        <v>100.45</v>
      </c>
      <c r="M28" s="14">
        <v>101.44</v>
      </c>
      <c r="N28" s="14">
        <v>106.07</v>
      </c>
      <c r="O28" s="14">
        <v>103.56</v>
      </c>
      <c r="P28" s="16"/>
      <c r="Q28" s="14">
        <v>102.86</v>
      </c>
    </row>
    <row r="29" spans="1:17" ht="15" customHeight="1" x14ac:dyDescent="0.25">
      <c r="A29" s="29" t="s">
        <v>49</v>
      </c>
      <c r="B29" s="31" t="s">
        <v>172</v>
      </c>
      <c r="C29" s="12">
        <v>104.73</v>
      </c>
      <c r="D29" s="15">
        <f t="shared" si="0"/>
        <v>-1.1444921316164924E-3</v>
      </c>
      <c r="E29" s="12">
        <v>99.34</v>
      </c>
      <c r="F29" s="12">
        <v>104.42</v>
      </c>
      <c r="G29" s="12">
        <v>107.72</v>
      </c>
      <c r="H29" s="12">
        <v>109.75</v>
      </c>
      <c r="I29" s="12">
        <v>110.14</v>
      </c>
      <c r="J29" s="12">
        <v>101.6</v>
      </c>
      <c r="K29" s="12">
        <v>100.53</v>
      </c>
      <c r="L29" s="12">
        <v>100.21</v>
      </c>
      <c r="M29" s="12">
        <v>101.47</v>
      </c>
      <c r="N29" s="12">
        <v>106.07</v>
      </c>
      <c r="O29" s="12">
        <v>103.54</v>
      </c>
      <c r="P29" s="13"/>
      <c r="Q29" s="12">
        <v>106.93</v>
      </c>
    </row>
    <row r="30" spans="1:17" ht="15" customHeight="1" x14ac:dyDescent="0.25">
      <c r="A30" s="29" t="s">
        <v>50</v>
      </c>
      <c r="B30" s="30" t="s">
        <v>172</v>
      </c>
      <c r="C30" s="14">
        <v>105.02</v>
      </c>
      <c r="D30" s="15">
        <f t="shared" si="0"/>
        <v>2.7690251121932352E-3</v>
      </c>
      <c r="E30" s="14">
        <v>100.18</v>
      </c>
      <c r="F30" s="14">
        <v>104.58</v>
      </c>
      <c r="G30" s="14">
        <v>108.13</v>
      </c>
      <c r="H30" s="14">
        <v>110.1</v>
      </c>
      <c r="I30" s="14">
        <v>110.01</v>
      </c>
      <c r="J30" s="14">
        <v>101.58</v>
      </c>
      <c r="K30" s="14">
        <v>99.16</v>
      </c>
      <c r="L30" s="14">
        <v>100.22</v>
      </c>
      <c r="M30" s="14">
        <v>101.46</v>
      </c>
      <c r="N30" s="14">
        <v>113.67</v>
      </c>
      <c r="O30" s="14">
        <v>103.56</v>
      </c>
      <c r="P30" s="16"/>
      <c r="Q30" s="14">
        <v>105.7</v>
      </c>
    </row>
    <row r="31" spans="1:17" ht="15" customHeight="1" x14ac:dyDescent="0.25">
      <c r="A31" s="29" t="s">
        <v>51</v>
      </c>
      <c r="B31" s="31" t="s">
        <v>172</v>
      </c>
      <c r="C31" s="12">
        <v>105.75</v>
      </c>
      <c r="D31" s="15">
        <f t="shared" si="0"/>
        <v>6.9510569415349721E-3</v>
      </c>
      <c r="E31" s="12">
        <v>100.95</v>
      </c>
      <c r="F31" s="12">
        <v>104.56</v>
      </c>
      <c r="G31" s="12">
        <v>108.16</v>
      </c>
      <c r="H31" s="12">
        <v>110.38</v>
      </c>
      <c r="I31" s="12">
        <v>109.88</v>
      </c>
      <c r="J31" s="12">
        <v>101.57</v>
      </c>
      <c r="K31" s="12">
        <v>98.74</v>
      </c>
      <c r="L31" s="12">
        <v>100.39</v>
      </c>
      <c r="M31" s="12">
        <v>101.34</v>
      </c>
      <c r="N31" s="12">
        <v>113.67</v>
      </c>
      <c r="O31" s="12">
        <v>103.19</v>
      </c>
      <c r="P31" s="13"/>
      <c r="Q31" s="12">
        <v>106.52</v>
      </c>
    </row>
    <row r="32" spans="1:17" ht="15" customHeight="1" x14ac:dyDescent="0.25">
      <c r="A32" s="29" t="s">
        <v>52</v>
      </c>
      <c r="B32" s="30" t="s">
        <v>172</v>
      </c>
      <c r="C32" s="14">
        <v>106.13</v>
      </c>
      <c r="D32" s="15">
        <f t="shared" si="0"/>
        <v>3.5933806146570824E-3</v>
      </c>
      <c r="E32" s="14">
        <v>100.06</v>
      </c>
      <c r="F32" s="14">
        <v>104.56</v>
      </c>
      <c r="G32" s="14">
        <v>108.16</v>
      </c>
      <c r="H32" s="14">
        <v>110.63</v>
      </c>
      <c r="I32" s="14">
        <v>109.8</v>
      </c>
      <c r="J32" s="14">
        <v>101.84</v>
      </c>
      <c r="K32" s="14">
        <v>99.94</v>
      </c>
      <c r="L32" s="14">
        <v>100.41</v>
      </c>
      <c r="M32" s="14">
        <v>101.3</v>
      </c>
      <c r="N32" s="14">
        <v>108.81</v>
      </c>
      <c r="O32" s="14">
        <v>103.08</v>
      </c>
      <c r="P32" s="16"/>
      <c r="Q32" s="14">
        <v>106.64</v>
      </c>
    </row>
    <row r="33" spans="1:17" ht="15" customHeight="1" x14ac:dyDescent="0.25">
      <c r="A33" s="29" t="s">
        <v>53</v>
      </c>
      <c r="B33" s="31" t="s">
        <v>172</v>
      </c>
      <c r="C33" s="12">
        <v>107.17</v>
      </c>
      <c r="D33" s="15">
        <f t="shared" si="0"/>
        <v>9.7993027419203127E-3</v>
      </c>
      <c r="E33" s="12">
        <v>101.54</v>
      </c>
      <c r="F33" s="12">
        <v>104.42</v>
      </c>
      <c r="G33" s="12">
        <v>106.4</v>
      </c>
      <c r="H33" s="12">
        <v>110.85</v>
      </c>
      <c r="I33" s="12">
        <v>109.72</v>
      </c>
      <c r="J33" s="12">
        <v>103.72</v>
      </c>
      <c r="K33" s="12">
        <v>104.44</v>
      </c>
      <c r="L33" s="12">
        <v>100.5</v>
      </c>
      <c r="M33" s="12">
        <v>101.23</v>
      </c>
      <c r="N33" s="12">
        <v>108.81</v>
      </c>
      <c r="O33" s="12">
        <v>103.55</v>
      </c>
      <c r="P33" s="13"/>
      <c r="Q33" s="12">
        <v>104.89</v>
      </c>
    </row>
    <row r="34" spans="1:17" ht="15" customHeight="1" x14ac:dyDescent="0.25">
      <c r="A34" s="29" t="s">
        <v>54</v>
      </c>
      <c r="B34" s="30" t="s">
        <v>172</v>
      </c>
      <c r="C34" s="14">
        <v>107.35</v>
      </c>
      <c r="D34" s="15">
        <f t="shared" si="0"/>
        <v>1.679574507791326E-3</v>
      </c>
      <c r="E34" s="14">
        <v>102.62</v>
      </c>
      <c r="F34" s="14">
        <v>104.42</v>
      </c>
      <c r="G34" s="14">
        <v>106.4</v>
      </c>
      <c r="H34" s="14">
        <v>111.13</v>
      </c>
      <c r="I34" s="14">
        <v>109.78</v>
      </c>
      <c r="J34" s="14">
        <v>103.73</v>
      </c>
      <c r="K34" s="14">
        <v>102.8</v>
      </c>
      <c r="L34" s="14">
        <v>100.53</v>
      </c>
      <c r="M34" s="14">
        <v>104.35</v>
      </c>
      <c r="N34" s="14">
        <v>108.81</v>
      </c>
      <c r="O34" s="14">
        <v>103.67</v>
      </c>
      <c r="P34" s="16"/>
      <c r="Q34" s="14">
        <v>105.08</v>
      </c>
    </row>
    <row r="35" spans="1:17" ht="15" customHeight="1" x14ac:dyDescent="0.25">
      <c r="A35" s="29" t="s">
        <v>55</v>
      </c>
      <c r="B35" s="31" t="s">
        <v>172</v>
      </c>
      <c r="C35" s="12">
        <v>107.8</v>
      </c>
      <c r="D35" s="15">
        <f t="shared" si="0"/>
        <v>4.1918956683744124E-3</v>
      </c>
      <c r="E35" s="12">
        <v>104.17</v>
      </c>
      <c r="F35" s="12">
        <v>104.42</v>
      </c>
      <c r="G35" s="12">
        <v>108.16</v>
      </c>
      <c r="H35" s="12">
        <v>111.38</v>
      </c>
      <c r="I35" s="12">
        <v>109.74</v>
      </c>
      <c r="J35" s="12">
        <v>103.72</v>
      </c>
      <c r="K35" s="12">
        <v>102.83</v>
      </c>
      <c r="L35" s="12">
        <v>100.45</v>
      </c>
      <c r="M35" s="12">
        <v>104.27</v>
      </c>
      <c r="N35" s="12">
        <v>108.81</v>
      </c>
      <c r="O35" s="12">
        <v>103.7</v>
      </c>
      <c r="P35" s="13"/>
      <c r="Q35" s="12">
        <v>106.9</v>
      </c>
    </row>
    <row r="36" spans="1:17" ht="15" customHeight="1" x14ac:dyDescent="0.25">
      <c r="A36" s="29" t="s">
        <v>56</v>
      </c>
      <c r="B36" s="30" t="s">
        <v>172</v>
      </c>
      <c r="C36" s="14">
        <v>107.92</v>
      </c>
      <c r="D36" s="15">
        <f t="shared" si="0"/>
        <v>1.1131725417439231E-3</v>
      </c>
      <c r="E36" s="14">
        <v>103.71</v>
      </c>
      <c r="F36" s="14">
        <v>104.42</v>
      </c>
      <c r="G36" s="14">
        <v>104.14</v>
      </c>
      <c r="H36" s="14">
        <v>111.57</v>
      </c>
      <c r="I36" s="14">
        <v>109.69</v>
      </c>
      <c r="J36" s="14">
        <v>101.84</v>
      </c>
      <c r="K36" s="14">
        <v>98.09</v>
      </c>
      <c r="L36" s="14">
        <v>100.45</v>
      </c>
      <c r="M36" s="14">
        <v>104.4</v>
      </c>
      <c r="N36" s="14">
        <v>108.81</v>
      </c>
      <c r="O36" s="14">
        <v>104.07</v>
      </c>
      <c r="P36" s="16"/>
      <c r="Q36" s="14">
        <v>104.99</v>
      </c>
    </row>
    <row r="37" spans="1:17" ht="15" customHeight="1" x14ac:dyDescent="0.25">
      <c r="A37" s="29" t="s">
        <v>57</v>
      </c>
      <c r="B37" s="31" t="s">
        <v>172</v>
      </c>
      <c r="C37" s="12">
        <v>107.75</v>
      </c>
      <c r="D37" s="15">
        <f t="shared" si="0"/>
        <v>-1.5752409191994721E-3</v>
      </c>
      <c r="E37" s="12">
        <v>103.09</v>
      </c>
      <c r="F37" s="12">
        <v>104.42</v>
      </c>
      <c r="G37" s="12">
        <v>104.14</v>
      </c>
      <c r="H37" s="12">
        <v>111.73</v>
      </c>
      <c r="I37" s="12">
        <v>109.4</v>
      </c>
      <c r="J37" s="12">
        <v>101.84</v>
      </c>
      <c r="K37" s="12">
        <v>94.34</v>
      </c>
      <c r="L37" s="12">
        <v>100.45</v>
      </c>
      <c r="M37" s="12">
        <v>104.4</v>
      </c>
      <c r="N37" s="12">
        <v>108.81</v>
      </c>
      <c r="O37" s="12">
        <v>104.18</v>
      </c>
      <c r="P37" s="13"/>
      <c r="Q37" s="12">
        <v>104.98</v>
      </c>
    </row>
    <row r="38" spans="1:17" ht="15" customHeight="1" x14ac:dyDescent="0.25">
      <c r="A38" s="29" t="s">
        <v>58</v>
      </c>
      <c r="B38" s="30" t="s">
        <v>172</v>
      </c>
      <c r="C38" s="14">
        <v>107.85</v>
      </c>
      <c r="D38" s="15">
        <f t="shared" si="0"/>
        <v>9.2807424593965848E-4</v>
      </c>
      <c r="E38" s="14">
        <v>103.72</v>
      </c>
      <c r="F38" s="14">
        <v>104.42</v>
      </c>
      <c r="G38" s="14">
        <v>104.14</v>
      </c>
      <c r="H38" s="14">
        <v>111.82</v>
      </c>
      <c r="I38" s="14">
        <v>109.36</v>
      </c>
      <c r="J38" s="14">
        <v>101.84</v>
      </c>
      <c r="K38" s="14">
        <v>91.53</v>
      </c>
      <c r="L38" s="14">
        <v>100.45</v>
      </c>
      <c r="M38" s="14">
        <v>104.19</v>
      </c>
      <c r="N38" s="14">
        <v>106.07</v>
      </c>
      <c r="O38" s="14">
        <v>103.96</v>
      </c>
      <c r="P38" s="16"/>
      <c r="Q38" s="14">
        <v>105</v>
      </c>
    </row>
    <row r="39" spans="1:17" ht="15" customHeight="1" x14ac:dyDescent="0.25">
      <c r="A39" s="29" t="s">
        <v>59</v>
      </c>
      <c r="B39" s="31" t="s">
        <v>172</v>
      </c>
      <c r="C39" s="12">
        <v>107.79</v>
      </c>
      <c r="D39" s="15">
        <f t="shared" si="0"/>
        <v>-5.5632823365769912E-4</v>
      </c>
      <c r="E39" s="12">
        <v>101.41</v>
      </c>
      <c r="F39" s="12">
        <v>104.58</v>
      </c>
      <c r="G39" s="12">
        <v>99.75</v>
      </c>
      <c r="H39" s="12">
        <v>111.84</v>
      </c>
      <c r="I39" s="12">
        <v>109.58</v>
      </c>
      <c r="J39" s="12">
        <v>101.84</v>
      </c>
      <c r="K39" s="12">
        <v>92.88</v>
      </c>
      <c r="L39" s="12">
        <v>100.21</v>
      </c>
      <c r="M39" s="12">
        <v>104.11</v>
      </c>
      <c r="N39" s="12">
        <v>106.07</v>
      </c>
      <c r="O39" s="12">
        <v>104.47</v>
      </c>
      <c r="P39" s="13"/>
      <c r="Q39" s="12">
        <v>103.5</v>
      </c>
    </row>
    <row r="40" spans="1:17" ht="15" customHeight="1" x14ac:dyDescent="0.25">
      <c r="A40" s="29" t="s">
        <v>60</v>
      </c>
      <c r="B40" s="30" t="s">
        <v>172</v>
      </c>
      <c r="C40" s="14">
        <v>108.67</v>
      </c>
      <c r="D40" s="15">
        <f t="shared" si="0"/>
        <v>8.1640226366082036E-3</v>
      </c>
      <c r="E40" s="14">
        <v>100.52</v>
      </c>
      <c r="F40" s="14">
        <v>98.71</v>
      </c>
      <c r="G40" s="14">
        <v>107.75</v>
      </c>
      <c r="H40" s="14">
        <v>112.14</v>
      </c>
      <c r="I40" s="14">
        <v>109.62</v>
      </c>
      <c r="J40" s="14">
        <v>102.14</v>
      </c>
      <c r="K40" s="14">
        <v>101.38</v>
      </c>
      <c r="L40" s="14">
        <v>100.24</v>
      </c>
      <c r="M40" s="14">
        <v>94</v>
      </c>
      <c r="N40" s="14">
        <v>113.67</v>
      </c>
      <c r="O40" s="14">
        <v>106.51</v>
      </c>
      <c r="P40" s="16"/>
      <c r="Q40" s="14">
        <v>120.98</v>
      </c>
    </row>
    <row r="41" spans="1:17" ht="15" customHeight="1" x14ac:dyDescent="0.25">
      <c r="A41" s="29" t="s">
        <v>61</v>
      </c>
      <c r="B41" s="31" t="s">
        <v>172</v>
      </c>
      <c r="C41" s="12">
        <v>108.89</v>
      </c>
      <c r="D41" s="15">
        <f t="shared" si="0"/>
        <v>2.0244777767552957E-3</v>
      </c>
      <c r="E41" s="12">
        <v>100.77</v>
      </c>
      <c r="F41" s="12">
        <v>98.71</v>
      </c>
      <c r="G41" s="12">
        <v>107.75</v>
      </c>
      <c r="H41" s="12">
        <v>112.16</v>
      </c>
      <c r="I41" s="12">
        <v>109.13</v>
      </c>
      <c r="J41" s="12">
        <v>102.14</v>
      </c>
      <c r="K41" s="12">
        <v>109.27</v>
      </c>
      <c r="L41" s="12">
        <v>100.25</v>
      </c>
      <c r="M41" s="12">
        <v>103.95</v>
      </c>
      <c r="N41" s="12">
        <v>113.67</v>
      </c>
      <c r="O41" s="12">
        <v>104.65</v>
      </c>
      <c r="P41" s="13"/>
      <c r="Q41" s="12">
        <v>114.97</v>
      </c>
    </row>
    <row r="42" spans="1:17" ht="15" customHeight="1" x14ac:dyDescent="0.25">
      <c r="A42" s="29" t="s">
        <v>62</v>
      </c>
      <c r="B42" s="30" t="s">
        <v>172</v>
      </c>
      <c r="C42" s="14">
        <v>109.1</v>
      </c>
      <c r="D42" s="15">
        <f t="shared" si="0"/>
        <v>1.9285517494718185E-3</v>
      </c>
      <c r="E42" s="14">
        <v>100.08</v>
      </c>
      <c r="F42" s="14">
        <v>157.77000000000001</v>
      </c>
      <c r="G42" s="14">
        <v>110.96</v>
      </c>
      <c r="H42" s="14">
        <v>112.24</v>
      </c>
      <c r="I42" s="14">
        <v>108.98</v>
      </c>
      <c r="J42" s="14">
        <v>102.57</v>
      </c>
      <c r="K42" s="14">
        <v>103.49</v>
      </c>
      <c r="L42" s="14">
        <v>100.16</v>
      </c>
      <c r="M42" s="14">
        <v>104.11</v>
      </c>
      <c r="N42" s="14">
        <v>116.98</v>
      </c>
      <c r="O42" s="14">
        <v>105.88</v>
      </c>
      <c r="P42" s="16"/>
      <c r="Q42" s="14">
        <v>114.86</v>
      </c>
    </row>
    <row r="43" spans="1:17" ht="15" customHeight="1" x14ac:dyDescent="0.25">
      <c r="A43" s="29" t="s">
        <v>63</v>
      </c>
      <c r="B43" s="31" t="s">
        <v>172</v>
      </c>
      <c r="C43" s="12">
        <v>108.76</v>
      </c>
      <c r="D43" s="15">
        <f t="shared" si="0"/>
        <v>-3.1164069660860605E-3</v>
      </c>
      <c r="E43" s="12">
        <v>100.06</v>
      </c>
      <c r="F43" s="12">
        <v>157.77000000000001</v>
      </c>
      <c r="G43" s="12">
        <v>110.96</v>
      </c>
      <c r="H43" s="12">
        <v>112.23</v>
      </c>
      <c r="I43" s="12">
        <v>108.72</v>
      </c>
      <c r="J43" s="12">
        <v>102.57</v>
      </c>
      <c r="K43" s="12">
        <v>105.41</v>
      </c>
      <c r="L43" s="12">
        <v>100.16</v>
      </c>
      <c r="M43" s="12">
        <v>104.12</v>
      </c>
      <c r="N43" s="12">
        <v>116.98</v>
      </c>
      <c r="O43" s="12">
        <v>105.98</v>
      </c>
      <c r="P43" s="13"/>
      <c r="Q43" s="12">
        <v>114.2</v>
      </c>
    </row>
    <row r="44" spans="1:17" ht="15" customHeight="1" x14ac:dyDescent="0.25">
      <c r="A44" s="29" t="s">
        <v>64</v>
      </c>
      <c r="B44" s="30" t="s">
        <v>172</v>
      </c>
      <c r="C44" s="14">
        <v>108.53</v>
      </c>
      <c r="D44" s="15">
        <f t="shared" si="0"/>
        <v>-2.1147480691431353E-3</v>
      </c>
      <c r="E44" s="14">
        <v>101.5</v>
      </c>
      <c r="F44" s="14">
        <v>99.34</v>
      </c>
      <c r="G44" s="14">
        <v>110.96</v>
      </c>
      <c r="H44" s="14">
        <v>112.21</v>
      </c>
      <c r="I44" s="14">
        <v>108.55</v>
      </c>
      <c r="J44" s="14">
        <v>102.16</v>
      </c>
      <c r="K44" s="14">
        <v>104.11</v>
      </c>
      <c r="L44" s="14">
        <v>100.03</v>
      </c>
      <c r="M44" s="14">
        <v>88.83</v>
      </c>
      <c r="N44" s="14">
        <v>114.47</v>
      </c>
      <c r="O44" s="14">
        <v>105.71</v>
      </c>
      <c r="P44" s="16"/>
      <c r="Q44" s="14">
        <v>114.18</v>
      </c>
    </row>
    <row r="45" spans="1:17" ht="15" customHeight="1" x14ac:dyDescent="0.25">
      <c r="A45" s="29" t="s">
        <v>65</v>
      </c>
      <c r="B45" s="31" t="s">
        <v>172</v>
      </c>
      <c r="C45" s="12">
        <v>109.46</v>
      </c>
      <c r="D45" s="15">
        <f t="shared" si="0"/>
        <v>8.5690592462912551E-3</v>
      </c>
      <c r="E45" s="12">
        <v>103.04</v>
      </c>
      <c r="F45" s="12">
        <v>99.34</v>
      </c>
      <c r="G45" s="12">
        <v>110.86</v>
      </c>
      <c r="H45" s="12">
        <v>112.09</v>
      </c>
      <c r="I45" s="12">
        <v>108.73</v>
      </c>
      <c r="J45" s="12">
        <v>102.29</v>
      </c>
      <c r="K45" s="12">
        <v>103.76</v>
      </c>
      <c r="L45" s="12">
        <v>99.98</v>
      </c>
      <c r="M45" s="12">
        <v>89.12</v>
      </c>
      <c r="N45" s="12">
        <v>114.47</v>
      </c>
      <c r="O45" s="12">
        <v>105.75</v>
      </c>
      <c r="P45" s="13"/>
      <c r="Q45" s="12">
        <v>116.64</v>
      </c>
    </row>
    <row r="46" spans="1:17" ht="15" customHeight="1" x14ac:dyDescent="0.25">
      <c r="A46" s="29" t="s">
        <v>66</v>
      </c>
      <c r="B46" s="30" t="s">
        <v>172</v>
      </c>
      <c r="C46" s="14">
        <v>108.42</v>
      </c>
      <c r="D46" s="15">
        <f t="shared" si="0"/>
        <v>-9.5011876484559776E-3</v>
      </c>
      <c r="E46" s="14">
        <v>102.61</v>
      </c>
      <c r="F46" s="14">
        <v>99.34</v>
      </c>
      <c r="G46" s="14">
        <v>110.86</v>
      </c>
      <c r="H46" s="14">
        <v>112.09</v>
      </c>
      <c r="I46" s="14">
        <v>109.12</v>
      </c>
      <c r="J46" s="14">
        <v>102.29</v>
      </c>
      <c r="K46" s="14">
        <v>101.02</v>
      </c>
      <c r="L46" s="14">
        <v>99.99</v>
      </c>
      <c r="M46" s="14">
        <v>89.13</v>
      </c>
      <c r="N46" s="14">
        <v>114.47</v>
      </c>
      <c r="O46" s="14">
        <v>105.58</v>
      </c>
      <c r="P46" s="16"/>
      <c r="Q46" s="14">
        <v>116.41</v>
      </c>
    </row>
    <row r="47" spans="1:17" ht="15" customHeight="1" x14ac:dyDescent="0.25">
      <c r="A47" s="29" t="s">
        <v>67</v>
      </c>
      <c r="B47" s="31" t="s">
        <v>172</v>
      </c>
      <c r="C47" s="12">
        <v>108.67</v>
      </c>
      <c r="D47" s="15">
        <f t="shared" si="0"/>
        <v>2.305847629588742E-3</v>
      </c>
      <c r="E47" s="12">
        <v>102.77</v>
      </c>
      <c r="F47" s="12">
        <v>99.34</v>
      </c>
      <c r="G47" s="12">
        <v>110.86</v>
      </c>
      <c r="H47" s="12">
        <v>111.91</v>
      </c>
      <c r="I47" s="12">
        <v>109.19</v>
      </c>
      <c r="J47" s="12">
        <v>102.29</v>
      </c>
      <c r="K47" s="12">
        <v>110.18</v>
      </c>
      <c r="L47" s="12">
        <v>99.99</v>
      </c>
      <c r="M47" s="12">
        <v>89.15</v>
      </c>
      <c r="N47" s="12">
        <v>114.47</v>
      </c>
      <c r="O47" s="12">
        <v>105.55</v>
      </c>
      <c r="P47" s="13"/>
      <c r="Q47" s="12">
        <v>116.48</v>
      </c>
    </row>
    <row r="48" spans="1:17" ht="15" customHeight="1" x14ac:dyDescent="0.25">
      <c r="A48" s="29" t="s">
        <v>68</v>
      </c>
      <c r="B48" s="30" t="s">
        <v>172</v>
      </c>
      <c r="C48" s="14">
        <v>108.87</v>
      </c>
      <c r="D48" s="15">
        <f t="shared" si="0"/>
        <v>1.8404343425049152E-3</v>
      </c>
      <c r="E48" s="14">
        <v>103.39</v>
      </c>
      <c r="F48" s="14">
        <v>99.34</v>
      </c>
      <c r="G48" s="14">
        <v>109.11</v>
      </c>
      <c r="H48" s="14">
        <v>111.66</v>
      </c>
      <c r="I48" s="14">
        <v>109.15</v>
      </c>
      <c r="J48" s="14">
        <v>102.16</v>
      </c>
      <c r="K48" s="14">
        <v>102.84</v>
      </c>
      <c r="L48" s="14">
        <v>100.16</v>
      </c>
      <c r="M48" s="14">
        <v>89.09</v>
      </c>
      <c r="N48" s="14">
        <v>114.47</v>
      </c>
      <c r="O48" s="14">
        <v>108.13</v>
      </c>
      <c r="P48" s="16"/>
      <c r="Q48" s="14">
        <v>117.28</v>
      </c>
    </row>
    <row r="49" spans="1:17" ht="15" customHeight="1" x14ac:dyDescent="0.25">
      <c r="A49" s="29" t="s">
        <v>69</v>
      </c>
      <c r="B49" s="31" t="s">
        <v>172</v>
      </c>
      <c r="C49" s="12">
        <v>109.33</v>
      </c>
      <c r="D49" s="15">
        <f t="shared" si="0"/>
        <v>4.2252227427206357E-3</v>
      </c>
      <c r="E49" s="12">
        <v>104.57</v>
      </c>
      <c r="F49" s="12">
        <v>99.34</v>
      </c>
      <c r="G49" s="12">
        <v>109.11</v>
      </c>
      <c r="H49" s="12">
        <v>111.53</v>
      </c>
      <c r="I49" s="12">
        <v>109.18</v>
      </c>
      <c r="J49" s="12">
        <v>102.16</v>
      </c>
      <c r="K49" s="12">
        <v>103.19</v>
      </c>
      <c r="L49" s="12">
        <v>100.14</v>
      </c>
      <c r="M49" s="12">
        <v>88.94</v>
      </c>
      <c r="N49" s="12">
        <v>114.47</v>
      </c>
      <c r="O49" s="12">
        <v>108.53</v>
      </c>
      <c r="P49" s="13"/>
      <c r="Q49" s="12">
        <v>117.39</v>
      </c>
    </row>
    <row r="50" spans="1:17" ht="15" customHeight="1" x14ac:dyDescent="0.25">
      <c r="A50" s="29" t="s">
        <v>70</v>
      </c>
      <c r="B50" s="30" t="s">
        <v>172</v>
      </c>
      <c r="C50" s="14">
        <v>108.89</v>
      </c>
      <c r="D50" s="15">
        <f t="shared" si="0"/>
        <v>-4.0245129424677506E-3</v>
      </c>
      <c r="E50" s="14">
        <v>103.58</v>
      </c>
      <c r="F50" s="14">
        <v>99.52</v>
      </c>
      <c r="G50" s="14">
        <v>109.11</v>
      </c>
      <c r="H50" s="14">
        <v>111.2</v>
      </c>
      <c r="I50" s="14">
        <v>109.05</v>
      </c>
      <c r="J50" s="14">
        <v>102.16</v>
      </c>
      <c r="K50" s="14">
        <v>104.96</v>
      </c>
      <c r="L50" s="14">
        <v>100.21</v>
      </c>
      <c r="M50" s="14">
        <v>88.98</v>
      </c>
      <c r="N50" s="14">
        <v>113.67</v>
      </c>
      <c r="O50" s="14">
        <v>108.61</v>
      </c>
      <c r="P50" s="16"/>
      <c r="Q50" s="14">
        <v>120.97</v>
      </c>
    </row>
    <row r="51" spans="1:17" ht="15" customHeight="1" x14ac:dyDescent="0.25">
      <c r="A51" s="29" t="s">
        <v>71</v>
      </c>
      <c r="B51" s="31" t="s">
        <v>172</v>
      </c>
      <c r="C51" s="12">
        <v>109.36</v>
      </c>
      <c r="D51" s="15">
        <f t="shared" si="0"/>
        <v>4.3162824869134031E-3</v>
      </c>
      <c r="E51" s="12">
        <v>103</v>
      </c>
      <c r="F51" s="12">
        <v>98.71</v>
      </c>
      <c r="G51" s="12">
        <v>107.75</v>
      </c>
      <c r="H51" s="12">
        <v>110.9</v>
      </c>
      <c r="I51" s="12">
        <v>109.18</v>
      </c>
      <c r="J51" s="12">
        <v>102.14</v>
      </c>
      <c r="K51" s="12">
        <v>103.18</v>
      </c>
      <c r="L51" s="12">
        <v>100.11</v>
      </c>
      <c r="M51" s="12">
        <v>88.67</v>
      </c>
      <c r="N51" s="12">
        <v>113.67</v>
      </c>
      <c r="O51" s="12">
        <v>109.39</v>
      </c>
      <c r="P51" s="13"/>
      <c r="Q51" s="12">
        <v>121.04</v>
      </c>
    </row>
    <row r="52" spans="1:17" ht="15" customHeight="1" x14ac:dyDescent="0.25">
      <c r="A52" s="29" t="s">
        <v>72</v>
      </c>
      <c r="B52" s="30" t="s">
        <v>172</v>
      </c>
      <c r="C52" s="14">
        <v>111.59</v>
      </c>
      <c r="D52" s="15">
        <f t="shared" si="0"/>
        <v>2.0391367959034401E-2</v>
      </c>
      <c r="E52" s="14">
        <v>106.52</v>
      </c>
      <c r="F52" s="14">
        <v>172.38</v>
      </c>
      <c r="G52" s="14">
        <v>115.98</v>
      </c>
      <c r="H52" s="14">
        <v>111.39</v>
      </c>
      <c r="I52" s="14">
        <v>112.48</v>
      </c>
      <c r="J52" s="14">
        <v>102.74</v>
      </c>
      <c r="K52" s="14">
        <v>112.25</v>
      </c>
      <c r="L52" s="14">
        <v>105.72</v>
      </c>
      <c r="M52" s="14">
        <v>92.89</v>
      </c>
      <c r="N52" s="14">
        <v>118.16</v>
      </c>
      <c r="O52" s="14">
        <v>118.08</v>
      </c>
      <c r="P52" s="16"/>
      <c r="Q52" s="14">
        <v>119.3</v>
      </c>
    </row>
    <row r="53" spans="1:17" ht="15" customHeight="1" x14ac:dyDescent="0.25">
      <c r="A53" s="29" t="s">
        <v>73</v>
      </c>
      <c r="B53" s="31" t="s">
        <v>172</v>
      </c>
      <c r="C53" s="12">
        <v>111.43</v>
      </c>
      <c r="D53" s="15">
        <f t="shared" si="0"/>
        <v>-1.4338202347879969E-3</v>
      </c>
      <c r="E53" s="12">
        <v>105.84</v>
      </c>
      <c r="F53" s="12">
        <v>172.38</v>
      </c>
      <c r="G53" s="12">
        <v>114.86</v>
      </c>
      <c r="H53" s="12">
        <v>111.01</v>
      </c>
      <c r="I53" s="12">
        <v>113.56</v>
      </c>
      <c r="J53" s="12">
        <v>102.75</v>
      </c>
      <c r="K53" s="12">
        <v>112.75</v>
      </c>
      <c r="L53" s="12">
        <v>105.8</v>
      </c>
      <c r="M53" s="12">
        <v>91.93</v>
      </c>
      <c r="N53" s="12">
        <v>118.19</v>
      </c>
      <c r="O53" s="12">
        <v>117.8</v>
      </c>
      <c r="P53" s="13"/>
      <c r="Q53" s="12">
        <v>119.63</v>
      </c>
    </row>
    <row r="54" spans="1:17" ht="15" customHeight="1" x14ac:dyDescent="0.25">
      <c r="A54" s="29" t="s">
        <v>74</v>
      </c>
      <c r="B54" s="30" t="s">
        <v>172</v>
      </c>
      <c r="C54" s="14">
        <v>111.06</v>
      </c>
      <c r="D54" s="15">
        <f t="shared" si="0"/>
        <v>-3.3204702503814021E-3</v>
      </c>
      <c r="E54" s="14">
        <v>105.51</v>
      </c>
      <c r="F54" s="14">
        <v>177.33</v>
      </c>
      <c r="G54" s="14">
        <v>115.84</v>
      </c>
      <c r="H54" s="14">
        <v>110.55</v>
      </c>
      <c r="I54" s="14">
        <v>113.33</v>
      </c>
      <c r="J54" s="14">
        <v>102.73</v>
      </c>
      <c r="K54" s="14">
        <v>111.93</v>
      </c>
      <c r="L54" s="14">
        <v>105.78</v>
      </c>
      <c r="M54" s="14">
        <v>91.17</v>
      </c>
      <c r="N54" s="14">
        <v>118.19</v>
      </c>
      <c r="O54" s="14">
        <v>117.7</v>
      </c>
      <c r="P54" s="16"/>
      <c r="Q54" s="14">
        <v>118.81</v>
      </c>
    </row>
    <row r="55" spans="1:17" ht="15" customHeight="1" x14ac:dyDescent="0.25">
      <c r="A55" s="29" t="s">
        <v>75</v>
      </c>
      <c r="B55" s="31" t="s">
        <v>172</v>
      </c>
      <c r="C55" s="12">
        <v>110.71</v>
      </c>
      <c r="D55" s="15">
        <f t="shared" si="0"/>
        <v>-3.1514496668467729E-3</v>
      </c>
      <c r="E55" s="12">
        <v>105.2</v>
      </c>
      <c r="F55" s="12">
        <v>177.33</v>
      </c>
      <c r="G55" s="12">
        <v>115.2</v>
      </c>
      <c r="H55" s="12">
        <v>110.09</v>
      </c>
      <c r="I55" s="12">
        <v>113.45</v>
      </c>
      <c r="J55" s="12">
        <v>102.74</v>
      </c>
      <c r="K55" s="12">
        <v>110.7</v>
      </c>
      <c r="L55" s="12">
        <v>105.67</v>
      </c>
      <c r="M55" s="12">
        <v>92.4</v>
      </c>
      <c r="N55" s="12">
        <v>118.16</v>
      </c>
      <c r="O55" s="12">
        <v>117.58</v>
      </c>
      <c r="P55" s="13"/>
      <c r="Q55" s="12">
        <v>119.24</v>
      </c>
    </row>
    <row r="56" spans="1:17" ht="15" customHeight="1" x14ac:dyDescent="0.25">
      <c r="A56" s="29" t="s">
        <v>76</v>
      </c>
      <c r="B56" s="30" t="s">
        <v>172</v>
      </c>
      <c r="C56" s="14">
        <v>110.71</v>
      </c>
      <c r="D56" s="15">
        <f t="shared" si="0"/>
        <v>0</v>
      </c>
      <c r="E56" s="14">
        <v>105.18</v>
      </c>
      <c r="F56" s="14">
        <v>172.3</v>
      </c>
      <c r="G56" s="14">
        <v>115.2</v>
      </c>
      <c r="H56" s="14">
        <v>109.62</v>
      </c>
      <c r="I56" s="14">
        <v>112.81</v>
      </c>
      <c r="J56" s="14">
        <v>102.74</v>
      </c>
      <c r="K56" s="14">
        <v>113.28</v>
      </c>
      <c r="L56" s="14">
        <v>105.5</v>
      </c>
      <c r="M56" s="14">
        <v>92.69</v>
      </c>
      <c r="N56" s="14">
        <v>118.16</v>
      </c>
      <c r="O56" s="14">
        <v>117.21</v>
      </c>
      <c r="P56" s="16"/>
      <c r="Q56" s="14">
        <v>118.34</v>
      </c>
    </row>
    <row r="57" spans="1:17" ht="15" customHeight="1" x14ac:dyDescent="0.25">
      <c r="A57" s="29" t="s">
        <v>77</v>
      </c>
      <c r="B57" s="31" t="s">
        <v>172</v>
      </c>
      <c r="C57" s="12">
        <v>110.91</v>
      </c>
      <c r="D57" s="15">
        <f t="shared" si="0"/>
        <v>1.8065215427693904E-3</v>
      </c>
      <c r="E57" s="12">
        <v>106.33</v>
      </c>
      <c r="F57" s="12">
        <v>172.3</v>
      </c>
      <c r="G57" s="12">
        <v>107.15</v>
      </c>
      <c r="H57" s="12">
        <v>109.15</v>
      </c>
      <c r="I57" s="12">
        <v>112.86</v>
      </c>
      <c r="J57" s="12">
        <v>102.75</v>
      </c>
      <c r="K57" s="12">
        <v>117.75</v>
      </c>
      <c r="L57" s="12">
        <v>105.4</v>
      </c>
      <c r="M57" s="12">
        <v>92.04</v>
      </c>
      <c r="N57" s="12">
        <v>118.16</v>
      </c>
      <c r="O57" s="12">
        <v>117.1</v>
      </c>
      <c r="P57" s="13"/>
      <c r="Q57" s="12">
        <v>117.78</v>
      </c>
    </row>
    <row r="58" spans="1:17" ht="15" customHeight="1" x14ac:dyDescent="0.25">
      <c r="A58" s="29" t="s">
        <v>78</v>
      </c>
      <c r="B58" s="30" t="s">
        <v>172</v>
      </c>
      <c r="C58" s="14">
        <v>110.83</v>
      </c>
      <c r="D58" s="15">
        <f t="shared" si="0"/>
        <v>-7.2130556306915228E-4</v>
      </c>
      <c r="E58" s="14">
        <v>106.36</v>
      </c>
      <c r="F58" s="14">
        <v>177.33</v>
      </c>
      <c r="G58" s="14">
        <v>107.15</v>
      </c>
      <c r="H58" s="14">
        <v>108.54</v>
      </c>
      <c r="I58" s="14">
        <v>112.79</v>
      </c>
      <c r="J58" s="14">
        <v>102.33</v>
      </c>
      <c r="K58" s="14">
        <v>118.22</v>
      </c>
      <c r="L58" s="14">
        <v>105.44</v>
      </c>
      <c r="M58" s="14">
        <v>94.36</v>
      </c>
      <c r="N58" s="14">
        <v>118.16</v>
      </c>
      <c r="O58" s="14">
        <v>118.1</v>
      </c>
      <c r="P58" s="16"/>
      <c r="Q58" s="14">
        <v>117.79</v>
      </c>
    </row>
    <row r="59" spans="1:17" ht="15" customHeight="1" x14ac:dyDescent="0.25">
      <c r="A59" s="29" t="s">
        <v>79</v>
      </c>
      <c r="B59" s="31" t="s">
        <v>172</v>
      </c>
      <c r="C59" s="12">
        <v>111.06</v>
      </c>
      <c r="D59" s="15">
        <f t="shared" si="0"/>
        <v>2.0752503834702285E-3</v>
      </c>
      <c r="E59" s="12">
        <v>106.17</v>
      </c>
      <c r="F59" s="12">
        <v>177.33</v>
      </c>
      <c r="G59" s="12">
        <v>107.15</v>
      </c>
      <c r="H59" s="12">
        <v>107.89</v>
      </c>
      <c r="I59" s="12">
        <v>112.15</v>
      </c>
      <c r="J59" s="12">
        <v>102.33</v>
      </c>
      <c r="K59" s="12">
        <v>122.92</v>
      </c>
      <c r="L59" s="12">
        <v>105.6</v>
      </c>
      <c r="M59" s="12">
        <v>96.73</v>
      </c>
      <c r="N59" s="12">
        <v>118.16</v>
      </c>
      <c r="O59" s="12">
        <v>118.14</v>
      </c>
      <c r="P59" s="13"/>
      <c r="Q59" s="12">
        <v>117.31</v>
      </c>
    </row>
    <row r="60" spans="1:17" ht="15" customHeight="1" x14ac:dyDescent="0.25">
      <c r="A60" s="29" t="s">
        <v>80</v>
      </c>
      <c r="B60" s="30" t="s">
        <v>172</v>
      </c>
      <c r="C60" s="14">
        <v>110.12</v>
      </c>
      <c r="D60" s="15">
        <f t="shared" si="0"/>
        <v>-8.4638933909598757E-3</v>
      </c>
      <c r="E60" s="14">
        <v>106.58</v>
      </c>
      <c r="F60" s="14">
        <v>177.33</v>
      </c>
      <c r="G60" s="14">
        <v>106.16</v>
      </c>
      <c r="H60" s="14">
        <v>107.29</v>
      </c>
      <c r="I60" s="14">
        <v>112.12</v>
      </c>
      <c r="J60" s="14">
        <v>102.32</v>
      </c>
      <c r="K60" s="14">
        <v>117.71</v>
      </c>
      <c r="L60" s="14">
        <v>105.64</v>
      </c>
      <c r="M60" s="14">
        <v>90.29</v>
      </c>
      <c r="N60" s="14">
        <v>118.19</v>
      </c>
      <c r="O60" s="14">
        <v>118.07</v>
      </c>
      <c r="P60" s="16"/>
      <c r="Q60" s="14">
        <v>117.13</v>
      </c>
    </row>
    <row r="61" spans="1:17" ht="15" customHeight="1" x14ac:dyDescent="0.25">
      <c r="A61" s="29" t="s">
        <v>81</v>
      </c>
      <c r="B61" s="31" t="s">
        <v>172</v>
      </c>
      <c r="C61" s="12">
        <v>109.75</v>
      </c>
      <c r="D61" s="15">
        <f t="shared" si="0"/>
        <v>-3.3599709407918787E-3</v>
      </c>
      <c r="E61" s="12">
        <v>107.32</v>
      </c>
      <c r="F61" s="12">
        <v>172.3</v>
      </c>
      <c r="G61" s="12">
        <v>106.16</v>
      </c>
      <c r="H61" s="12">
        <v>106.63</v>
      </c>
      <c r="I61" s="12">
        <v>112.11</v>
      </c>
      <c r="J61" s="12">
        <v>102.32</v>
      </c>
      <c r="K61" s="12">
        <v>117.06</v>
      </c>
      <c r="L61" s="12">
        <v>105.48</v>
      </c>
      <c r="M61" s="12">
        <v>91.77</v>
      </c>
      <c r="N61" s="12">
        <v>118.19</v>
      </c>
      <c r="O61" s="12">
        <v>118.42</v>
      </c>
      <c r="P61" s="13"/>
      <c r="Q61" s="12">
        <v>114.03</v>
      </c>
    </row>
    <row r="62" spans="1:17" ht="15" customHeight="1" x14ac:dyDescent="0.25">
      <c r="A62" s="29" t="s">
        <v>82</v>
      </c>
      <c r="B62" s="30" t="s">
        <v>172</v>
      </c>
      <c r="C62" s="14">
        <v>109.44</v>
      </c>
      <c r="D62" s="15">
        <f t="shared" si="0"/>
        <v>-2.8246013667425629E-3</v>
      </c>
      <c r="E62" s="14">
        <v>107.4</v>
      </c>
      <c r="F62" s="14">
        <v>172.38</v>
      </c>
      <c r="G62" s="14">
        <v>104.86</v>
      </c>
      <c r="H62" s="14">
        <v>105.95</v>
      </c>
      <c r="I62" s="14">
        <v>112.26</v>
      </c>
      <c r="J62" s="14">
        <v>102.32</v>
      </c>
      <c r="K62" s="14">
        <v>117.09</v>
      </c>
      <c r="L62" s="14">
        <v>105.45</v>
      </c>
      <c r="M62" s="14">
        <v>90.61</v>
      </c>
      <c r="N62" s="14">
        <v>118.16</v>
      </c>
      <c r="O62" s="14">
        <v>118.58</v>
      </c>
      <c r="P62" s="16"/>
      <c r="Q62" s="14">
        <v>114.53</v>
      </c>
    </row>
    <row r="63" spans="1:17" ht="15" customHeight="1" x14ac:dyDescent="0.25">
      <c r="A63" s="29" t="s">
        <v>83</v>
      </c>
      <c r="B63" s="31" t="s">
        <v>172</v>
      </c>
      <c r="C63" s="12">
        <v>108.95</v>
      </c>
      <c r="D63" s="15">
        <f t="shared" si="0"/>
        <v>-4.4773391812864549E-3</v>
      </c>
      <c r="E63" s="12">
        <v>106.62</v>
      </c>
      <c r="F63" s="12">
        <v>177.33</v>
      </c>
      <c r="G63" s="12">
        <v>108.74</v>
      </c>
      <c r="H63" s="12">
        <v>105.33</v>
      </c>
      <c r="I63" s="12">
        <v>112.13</v>
      </c>
      <c r="J63" s="12">
        <v>102.39</v>
      </c>
      <c r="K63" s="12">
        <v>113.01</v>
      </c>
      <c r="L63" s="12">
        <v>105.43</v>
      </c>
      <c r="M63" s="12">
        <v>97.48</v>
      </c>
      <c r="N63" s="12">
        <v>118.16</v>
      </c>
      <c r="O63" s="12">
        <v>120.47</v>
      </c>
      <c r="P63" s="13"/>
      <c r="Q63" s="12">
        <v>114.46</v>
      </c>
    </row>
    <row r="64" spans="1:17" ht="15" customHeight="1" x14ac:dyDescent="0.25">
      <c r="A64" s="29" t="s">
        <v>84</v>
      </c>
      <c r="B64" s="30" t="s">
        <v>172</v>
      </c>
      <c r="C64" s="14">
        <v>107.57</v>
      </c>
      <c r="D64" s="15">
        <f t="shared" si="0"/>
        <v>-1.2666360715924863E-2</v>
      </c>
      <c r="E64" s="14">
        <v>105.43</v>
      </c>
      <c r="F64" s="14">
        <v>177.33</v>
      </c>
      <c r="G64" s="14">
        <v>103.78</v>
      </c>
      <c r="H64" s="14">
        <v>104.87</v>
      </c>
      <c r="I64" s="14">
        <v>113.59</v>
      </c>
      <c r="J64" s="14">
        <v>102.51</v>
      </c>
      <c r="K64" s="14">
        <v>105.28</v>
      </c>
      <c r="L64" s="14">
        <v>105.34</v>
      </c>
      <c r="M64" s="14">
        <v>94.88</v>
      </c>
      <c r="N64" s="14">
        <v>118.19</v>
      </c>
      <c r="O64" s="14">
        <v>120.38</v>
      </c>
      <c r="P64" s="16"/>
      <c r="Q64" s="14">
        <v>114.6</v>
      </c>
    </row>
    <row r="65" spans="1:17" ht="15" customHeight="1" x14ac:dyDescent="0.25">
      <c r="A65" s="29" t="s">
        <v>85</v>
      </c>
      <c r="B65" s="31" t="s">
        <v>172</v>
      </c>
      <c r="C65" s="12">
        <v>107.08</v>
      </c>
      <c r="D65" s="15">
        <f t="shared" si="0"/>
        <v>-4.5551733754763957E-3</v>
      </c>
      <c r="E65" s="12">
        <v>104.8</v>
      </c>
      <c r="F65" s="12">
        <v>203.45</v>
      </c>
      <c r="G65" s="12">
        <v>103.78</v>
      </c>
      <c r="H65" s="12">
        <v>104.25</v>
      </c>
      <c r="I65" s="12">
        <v>114.28</v>
      </c>
      <c r="J65" s="12">
        <v>102.51</v>
      </c>
      <c r="K65" s="12">
        <v>104.56</v>
      </c>
      <c r="L65" s="12">
        <v>105.37</v>
      </c>
      <c r="M65" s="12">
        <v>92.85</v>
      </c>
      <c r="N65" s="12">
        <v>118.19</v>
      </c>
      <c r="O65" s="12">
        <v>120.6</v>
      </c>
      <c r="P65" s="13"/>
      <c r="Q65" s="12">
        <v>114.58</v>
      </c>
    </row>
    <row r="66" spans="1:17" ht="15" customHeight="1" x14ac:dyDescent="0.25">
      <c r="A66" s="29" t="s">
        <v>86</v>
      </c>
      <c r="B66" s="30" t="s">
        <v>172</v>
      </c>
      <c r="C66" s="14">
        <v>107.02</v>
      </c>
      <c r="D66" s="15">
        <f t="shared" si="0"/>
        <v>-5.6032872618605456E-4</v>
      </c>
      <c r="E66" s="14">
        <v>105.17</v>
      </c>
      <c r="F66" s="14">
        <v>177</v>
      </c>
      <c r="G66" s="14">
        <v>107.97</v>
      </c>
      <c r="H66" s="14">
        <v>103.73</v>
      </c>
      <c r="I66" s="14">
        <v>114.01</v>
      </c>
      <c r="J66" s="14">
        <v>102.47</v>
      </c>
      <c r="K66" s="14">
        <v>105.72</v>
      </c>
      <c r="L66" s="14">
        <v>105.69</v>
      </c>
      <c r="M66" s="14">
        <v>89.45</v>
      </c>
      <c r="N66" s="14">
        <v>119.92</v>
      </c>
      <c r="O66" s="14">
        <v>120.45</v>
      </c>
      <c r="P66" s="16"/>
      <c r="Q66" s="14">
        <v>114.86</v>
      </c>
    </row>
    <row r="67" spans="1:17" ht="15" customHeight="1" x14ac:dyDescent="0.25">
      <c r="A67" s="29" t="s">
        <v>87</v>
      </c>
      <c r="B67" s="31" t="s">
        <v>172</v>
      </c>
      <c r="C67" s="12">
        <v>107.53</v>
      </c>
      <c r="D67" s="15">
        <f t="shared" si="0"/>
        <v>4.7654643991776879E-3</v>
      </c>
      <c r="E67" s="12">
        <v>104.66</v>
      </c>
      <c r="F67" s="12">
        <v>177.08</v>
      </c>
      <c r="G67" s="12">
        <v>107.97</v>
      </c>
      <c r="H67" s="12">
        <v>103.18</v>
      </c>
      <c r="I67" s="12">
        <v>114.02</v>
      </c>
      <c r="J67" s="12">
        <v>102.43</v>
      </c>
      <c r="K67" s="12">
        <v>111.24</v>
      </c>
      <c r="L67" s="12">
        <v>105.35</v>
      </c>
      <c r="M67" s="12">
        <v>89.67</v>
      </c>
      <c r="N67" s="12">
        <v>119.92</v>
      </c>
      <c r="O67" s="12">
        <v>120.41</v>
      </c>
      <c r="P67" s="13"/>
      <c r="Q67" s="12">
        <v>115.25</v>
      </c>
    </row>
    <row r="68" spans="1:17" ht="15" customHeight="1" x14ac:dyDescent="0.25">
      <c r="A68" s="29" t="s">
        <v>88</v>
      </c>
      <c r="B68" s="30" t="s">
        <v>172</v>
      </c>
      <c r="C68" s="14">
        <v>107.82</v>
      </c>
      <c r="D68" s="15">
        <f t="shared" si="0"/>
        <v>2.6969217892680586E-3</v>
      </c>
      <c r="E68" s="14">
        <v>104.96</v>
      </c>
      <c r="F68" s="14">
        <v>176.99</v>
      </c>
      <c r="G68" s="14">
        <v>101.95</v>
      </c>
      <c r="H68" s="14">
        <v>102.66</v>
      </c>
      <c r="I68" s="14">
        <v>113.32</v>
      </c>
      <c r="J68" s="14">
        <v>102.48</v>
      </c>
      <c r="K68" s="14">
        <v>115.14</v>
      </c>
      <c r="L68" s="14">
        <v>105.41</v>
      </c>
      <c r="M68" s="14">
        <v>95.28</v>
      </c>
      <c r="N68" s="14">
        <v>118.19</v>
      </c>
      <c r="O68" s="14">
        <v>120.02</v>
      </c>
      <c r="P68" s="16"/>
      <c r="Q68" s="14">
        <v>115.34</v>
      </c>
    </row>
    <row r="69" spans="1:17" ht="15" customHeight="1" x14ac:dyDescent="0.25">
      <c r="A69" s="29" t="s">
        <v>89</v>
      </c>
      <c r="B69" s="31" t="s">
        <v>172</v>
      </c>
      <c r="C69" s="12">
        <v>107.93</v>
      </c>
      <c r="D69" s="15">
        <f t="shared" si="0"/>
        <v>1.0202188833241532E-3</v>
      </c>
      <c r="E69" s="12">
        <v>106.89</v>
      </c>
      <c r="F69" s="12">
        <v>175.63</v>
      </c>
      <c r="G69" s="12">
        <v>101.87</v>
      </c>
      <c r="H69" s="12">
        <v>102.16</v>
      </c>
      <c r="I69" s="12">
        <v>113.37</v>
      </c>
      <c r="J69" s="12">
        <v>102.48</v>
      </c>
      <c r="K69" s="12">
        <v>116.58</v>
      </c>
      <c r="L69" s="12">
        <v>105.43</v>
      </c>
      <c r="M69" s="12">
        <v>97.36</v>
      </c>
      <c r="N69" s="12">
        <v>118.19</v>
      </c>
      <c r="O69" s="12">
        <v>120.05</v>
      </c>
      <c r="P69" s="13"/>
      <c r="Q69" s="12">
        <v>115.12</v>
      </c>
    </row>
    <row r="70" spans="1:17" ht="15" customHeight="1" x14ac:dyDescent="0.25">
      <c r="A70" s="29" t="s">
        <v>90</v>
      </c>
      <c r="B70" s="30" t="s">
        <v>172</v>
      </c>
      <c r="C70" s="14">
        <v>107.46</v>
      </c>
      <c r="D70" s="15">
        <f t="shared" ref="D70:D133" si="1">C70/C69-1</f>
        <v>-4.354674325952157E-3</v>
      </c>
      <c r="E70" s="14">
        <v>107.38</v>
      </c>
      <c r="F70" s="14">
        <v>175.63</v>
      </c>
      <c r="G70" s="14">
        <v>101.87</v>
      </c>
      <c r="H70" s="14">
        <v>101.73</v>
      </c>
      <c r="I70" s="14">
        <v>113.37</v>
      </c>
      <c r="J70" s="14">
        <v>102.48</v>
      </c>
      <c r="K70" s="14">
        <v>113.97</v>
      </c>
      <c r="L70" s="14">
        <v>105.42</v>
      </c>
      <c r="M70" s="14">
        <v>95.07</v>
      </c>
      <c r="N70" s="14">
        <v>118.19</v>
      </c>
      <c r="O70" s="14">
        <v>120.2</v>
      </c>
      <c r="P70" s="16"/>
      <c r="Q70" s="14">
        <v>115.32</v>
      </c>
    </row>
    <row r="71" spans="1:17" ht="15" customHeight="1" x14ac:dyDescent="0.25">
      <c r="A71" s="29" t="s">
        <v>91</v>
      </c>
      <c r="B71" s="31" t="s">
        <v>172</v>
      </c>
      <c r="C71" s="12">
        <v>107.76</v>
      </c>
      <c r="D71" s="15">
        <f t="shared" si="1"/>
        <v>2.7917364600782424E-3</v>
      </c>
      <c r="E71" s="12">
        <v>107.32</v>
      </c>
      <c r="F71" s="12">
        <v>175.64</v>
      </c>
      <c r="G71" s="12">
        <v>107.37</v>
      </c>
      <c r="H71" s="12">
        <v>101.28</v>
      </c>
      <c r="I71" s="12">
        <v>113.8</v>
      </c>
      <c r="J71" s="12">
        <v>102.44</v>
      </c>
      <c r="K71" s="12">
        <v>117.86</v>
      </c>
      <c r="L71" s="12">
        <v>105.54</v>
      </c>
      <c r="M71" s="12">
        <v>97.17</v>
      </c>
      <c r="N71" s="12">
        <v>118.19</v>
      </c>
      <c r="O71" s="12">
        <v>120.28</v>
      </c>
      <c r="P71" s="13"/>
      <c r="Q71" s="12">
        <v>115.88</v>
      </c>
    </row>
    <row r="72" spans="1:17" ht="15" customHeight="1" x14ac:dyDescent="0.25">
      <c r="A72" s="29" t="s">
        <v>92</v>
      </c>
      <c r="B72" s="30" t="s">
        <v>172</v>
      </c>
      <c r="C72" s="14">
        <v>106.96</v>
      </c>
      <c r="D72" s="15">
        <f t="shared" si="1"/>
        <v>-7.4239049740164598E-3</v>
      </c>
      <c r="E72" s="14">
        <v>107.79</v>
      </c>
      <c r="F72" s="14">
        <v>177.2</v>
      </c>
      <c r="G72" s="14">
        <v>107.37</v>
      </c>
      <c r="H72" s="14">
        <v>100.89</v>
      </c>
      <c r="I72" s="14">
        <v>113.8</v>
      </c>
      <c r="J72" s="14">
        <v>102.43</v>
      </c>
      <c r="K72" s="14">
        <v>110.36</v>
      </c>
      <c r="L72" s="14">
        <v>105.67</v>
      </c>
      <c r="M72" s="14">
        <v>99.44</v>
      </c>
      <c r="N72" s="14">
        <v>119.91</v>
      </c>
      <c r="O72" s="14">
        <v>120.15</v>
      </c>
      <c r="P72" s="16"/>
      <c r="Q72" s="14">
        <v>115.85</v>
      </c>
    </row>
    <row r="73" spans="1:17" ht="15" customHeight="1" x14ac:dyDescent="0.25">
      <c r="A73" s="29" t="s">
        <v>93</v>
      </c>
      <c r="B73" s="31" t="s">
        <v>172</v>
      </c>
      <c r="C73" s="12">
        <v>106.67</v>
      </c>
      <c r="D73" s="15">
        <f t="shared" si="1"/>
        <v>-2.7112939416603643E-3</v>
      </c>
      <c r="E73" s="12">
        <v>107.27</v>
      </c>
      <c r="F73" s="12">
        <v>177.23</v>
      </c>
      <c r="G73" s="12">
        <v>107.37</v>
      </c>
      <c r="H73" s="12">
        <v>100.47</v>
      </c>
      <c r="I73" s="12">
        <v>113.29</v>
      </c>
      <c r="J73" s="12">
        <v>102.43</v>
      </c>
      <c r="K73" s="12">
        <v>109.31</v>
      </c>
      <c r="L73" s="12">
        <v>105.74</v>
      </c>
      <c r="M73" s="12">
        <v>97.95</v>
      </c>
      <c r="N73" s="12">
        <v>119.92</v>
      </c>
      <c r="O73" s="12">
        <v>120.57</v>
      </c>
      <c r="P73" s="13"/>
      <c r="Q73" s="12">
        <v>115.08</v>
      </c>
    </row>
    <row r="74" spans="1:17" ht="15" customHeight="1" x14ac:dyDescent="0.25">
      <c r="A74" s="29" t="s">
        <v>94</v>
      </c>
      <c r="B74" s="30" t="s">
        <v>172</v>
      </c>
      <c r="C74" s="14">
        <v>106.43</v>
      </c>
      <c r="D74" s="15">
        <f t="shared" si="1"/>
        <v>-2.2499296896971721E-3</v>
      </c>
      <c r="E74" s="14">
        <v>107.79</v>
      </c>
      <c r="F74" s="14">
        <v>177.23</v>
      </c>
      <c r="G74" s="14">
        <v>103.78</v>
      </c>
      <c r="H74" s="14">
        <v>100.12</v>
      </c>
      <c r="I74" s="14">
        <v>113.28</v>
      </c>
      <c r="J74" s="14">
        <v>102.47</v>
      </c>
      <c r="K74" s="14">
        <v>108.56</v>
      </c>
      <c r="L74" s="14">
        <v>105.35</v>
      </c>
      <c r="M74" s="14">
        <v>95.32</v>
      </c>
      <c r="N74" s="14">
        <v>118.19</v>
      </c>
      <c r="O74" s="14">
        <v>120.68</v>
      </c>
      <c r="P74" s="16"/>
      <c r="Q74" s="14">
        <v>114.94</v>
      </c>
    </row>
    <row r="75" spans="1:17" ht="15" customHeight="1" x14ac:dyDescent="0.25">
      <c r="A75" s="29" t="s">
        <v>95</v>
      </c>
      <c r="B75" s="31" t="s">
        <v>172</v>
      </c>
      <c r="C75" s="12">
        <v>106.75</v>
      </c>
      <c r="D75" s="15">
        <f t="shared" si="1"/>
        <v>3.0066710513951822E-3</v>
      </c>
      <c r="E75" s="12">
        <v>107.56</v>
      </c>
      <c r="F75" s="12">
        <v>177.23</v>
      </c>
      <c r="G75" s="12">
        <v>103.78</v>
      </c>
      <c r="H75" s="12">
        <v>99.72</v>
      </c>
      <c r="I75" s="12">
        <v>113.29</v>
      </c>
      <c r="J75" s="12">
        <v>102.48</v>
      </c>
      <c r="K75" s="12">
        <v>111.74</v>
      </c>
      <c r="L75" s="12">
        <v>105.37</v>
      </c>
      <c r="M75" s="12">
        <v>92.32</v>
      </c>
      <c r="N75" s="12">
        <v>118.19</v>
      </c>
      <c r="O75" s="12">
        <v>120.59</v>
      </c>
      <c r="P75" s="13"/>
      <c r="Q75" s="12">
        <v>115</v>
      </c>
    </row>
    <row r="76" spans="1:17" ht="15" customHeight="1" x14ac:dyDescent="0.25">
      <c r="A76" s="29" t="s">
        <v>96</v>
      </c>
      <c r="B76" s="30" t="s">
        <v>172</v>
      </c>
      <c r="C76" s="14">
        <v>106.15</v>
      </c>
      <c r="D76" s="15">
        <f t="shared" si="1"/>
        <v>-5.6206088992973857E-3</v>
      </c>
      <c r="E76" s="14">
        <v>107.15</v>
      </c>
      <c r="F76" s="14">
        <v>203.46</v>
      </c>
      <c r="G76" s="14">
        <v>100.45</v>
      </c>
      <c r="H76" s="14">
        <v>99.24</v>
      </c>
      <c r="I76" s="14">
        <v>113.83</v>
      </c>
      <c r="J76" s="14">
        <v>102.5</v>
      </c>
      <c r="K76" s="14">
        <v>110.46</v>
      </c>
      <c r="L76" s="14">
        <v>105.55</v>
      </c>
      <c r="M76" s="14">
        <v>92.67</v>
      </c>
      <c r="N76" s="14">
        <v>120.15</v>
      </c>
      <c r="O76" s="14">
        <v>121.04</v>
      </c>
      <c r="P76" s="16"/>
      <c r="Q76" s="14">
        <v>115.08</v>
      </c>
    </row>
    <row r="77" spans="1:17" ht="15" customHeight="1" x14ac:dyDescent="0.25">
      <c r="A77" s="29" t="s">
        <v>97</v>
      </c>
      <c r="B77" s="31" t="s">
        <v>172</v>
      </c>
      <c r="C77" s="12">
        <v>105.79</v>
      </c>
      <c r="D77" s="15">
        <f t="shared" si="1"/>
        <v>-3.3914272256241329E-3</v>
      </c>
      <c r="E77" s="12">
        <v>107.29</v>
      </c>
      <c r="F77" s="12">
        <v>203.44</v>
      </c>
      <c r="G77" s="12">
        <v>100.45</v>
      </c>
      <c r="H77" s="12">
        <v>98.82</v>
      </c>
      <c r="I77" s="12">
        <v>113.91</v>
      </c>
      <c r="J77" s="12">
        <v>102.5</v>
      </c>
      <c r="K77" s="12">
        <v>109.91</v>
      </c>
      <c r="L77" s="12">
        <v>105.55</v>
      </c>
      <c r="M77" s="12">
        <v>88.57</v>
      </c>
      <c r="N77" s="12">
        <v>120.15</v>
      </c>
      <c r="O77" s="12">
        <v>120.82</v>
      </c>
      <c r="P77" s="13"/>
      <c r="Q77" s="12">
        <v>114.56</v>
      </c>
    </row>
    <row r="78" spans="1:17" ht="15" customHeight="1" x14ac:dyDescent="0.25">
      <c r="A78" s="29" t="s">
        <v>98</v>
      </c>
      <c r="B78" s="30" t="s">
        <v>172</v>
      </c>
      <c r="C78" s="14">
        <v>105.07</v>
      </c>
      <c r="D78" s="15">
        <f t="shared" si="1"/>
        <v>-6.8059362888742703E-3</v>
      </c>
      <c r="E78" s="14">
        <v>109.97</v>
      </c>
      <c r="F78" s="14">
        <v>203.63</v>
      </c>
      <c r="G78" s="14">
        <v>100.45</v>
      </c>
      <c r="H78" s="14">
        <v>97.5</v>
      </c>
      <c r="I78" s="14">
        <v>113.83</v>
      </c>
      <c r="J78" s="14">
        <v>102.5</v>
      </c>
      <c r="K78" s="14">
        <v>106.45</v>
      </c>
      <c r="L78" s="14">
        <v>105.6</v>
      </c>
      <c r="M78" s="14">
        <v>84.27</v>
      </c>
      <c r="N78" s="14">
        <v>120.15</v>
      </c>
      <c r="O78" s="14">
        <v>120.71</v>
      </c>
      <c r="P78" s="16"/>
      <c r="Q78" s="14">
        <v>114.11</v>
      </c>
    </row>
    <row r="79" spans="1:17" ht="15" customHeight="1" x14ac:dyDescent="0.25">
      <c r="A79" s="29" t="s">
        <v>99</v>
      </c>
      <c r="B79" s="31" t="s">
        <v>172</v>
      </c>
      <c r="C79" s="12">
        <v>103.93</v>
      </c>
      <c r="D79" s="15">
        <f t="shared" si="1"/>
        <v>-1.0849909584086714E-2</v>
      </c>
      <c r="E79" s="12">
        <v>110.94</v>
      </c>
      <c r="F79" s="12">
        <v>203.63</v>
      </c>
      <c r="G79" s="12">
        <v>100.45</v>
      </c>
      <c r="H79" s="12">
        <v>96.67</v>
      </c>
      <c r="I79" s="12">
        <v>113.82</v>
      </c>
      <c r="J79" s="12">
        <v>102.5</v>
      </c>
      <c r="K79" s="12">
        <v>97.5</v>
      </c>
      <c r="L79" s="12">
        <v>105.53</v>
      </c>
      <c r="M79" s="12">
        <v>84.41</v>
      </c>
      <c r="N79" s="12">
        <v>120.41</v>
      </c>
      <c r="O79" s="12">
        <v>120.55</v>
      </c>
      <c r="P79" s="13"/>
      <c r="Q79" s="12">
        <v>114.64</v>
      </c>
    </row>
    <row r="80" spans="1:17" ht="15" customHeight="1" x14ac:dyDescent="0.25">
      <c r="A80" s="29" t="s">
        <v>100</v>
      </c>
      <c r="B80" s="30" t="s">
        <v>172</v>
      </c>
      <c r="C80" s="14">
        <v>104.05</v>
      </c>
      <c r="D80" s="15">
        <f t="shared" si="1"/>
        <v>1.1546233041468401E-3</v>
      </c>
      <c r="E80" s="14">
        <v>110.71</v>
      </c>
      <c r="F80" s="14">
        <v>203.63</v>
      </c>
      <c r="G80" s="14">
        <v>100.45</v>
      </c>
      <c r="H80" s="14">
        <v>96.23</v>
      </c>
      <c r="I80" s="14">
        <v>113.95</v>
      </c>
      <c r="J80" s="14">
        <v>102.5</v>
      </c>
      <c r="K80" s="14">
        <v>100.86</v>
      </c>
      <c r="L80" s="14">
        <v>105.47</v>
      </c>
      <c r="M80" s="14">
        <v>84.16</v>
      </c>
      <c r="N80" s="14">
        <v>120.41</v>
      </c>
      <c r="O80" s="14">
        <v>120.26</v>
      </c>
      <c r="P80" s="16"/>
      <c r="Q80" s="14">
        <v>114.71</v>
      </c>
    </row>
    <row r="81" spans="1:17" ht="15" customHeight="1" x14ac:dyDescent="0.25">
      <c r="A81" s="29" t="s">
        <v>101</v>
      </c>
      <c r="B81" s="31" t="s">
        <v>172</v>
      </c>
      <c r="C81" s="12">
        <v>104.22</v>
      </c>
      <c r="D81" s="15">
        <f t="shared" si="1"/>
        <v>1.633829889476246E-3</v>
      </c>
      <c r="E81" s="12">
        <v>110.62</v>
      </c>
      <c r="F81" s="12">
        <v>203.66</v>
      </c>
      <c r="G81" s="12">
        <v>100.45</v>
      </c>
      <c r="H81" s="12">
        <v>96.5</v>
      </c>
      <c r="I81" s="12">
        <v>114.09</v>
      </c>
      <c r="J81" s="12">
        <v>102.5</v>
      </c>
      <c r="K81" s="12">
        <v>100.97</v>
      </c>
      <c r="L81" s="12">
        <v>105.43</v>
      </c>
      <c r="M81" s="12">
        <v>84.01</v>
      </c>
      <c r="N81" s="12">
        <v>120.41</v>
      </c>
      <c r="O81" s="12">
        <v>120.2</v>
      </c>
      <c r="P81" s="13"/>
      <c r="Q81" s="12">
        <v>115.7</v>
      </c>
    </row>
    <row r="82" spans="1:17" ht="15" customHeight="1" x14ac:dyDescent="0.25">
      <c r="A82" s="29" t="s">
        <v>102</v>
      </c>
      <c r="B82" s="30" t="s">
        <v>172</v>
      </c>
      <c r="C82" s="14">
        <v>104.11</v>
      </c>
      <c r="D82" s="15">
        <f t="shared" si="1"/>
        <v>-1.0554596046824516E-3</v>
      </c>
      <c r="E82" s="14">
        <v>110.06</v>
      </c>
      <c r="F82" s="14">
        <v>203.66</v>
      </c>
      <c r="G82" s="14">
        <v>100.42</v>
      </c>
      <c r="H82" s="14">
        <v>96.23</v>
      </c>
      <c r="I82" s="14">
        <v>113.55</v>
      </c>
      <c r="J82" s="14">
        <v>102.54</v>
      </c>
      <c r="K82" s="14">
        <v>101.79</v>
      </c>
      <c r="L82" s="14">
        <v>105.39</v>
      </c>
      <c r="M82" s="14">
        <v>83.93</v>
      </c>
      <c r="N82" s="14">
        <v>120.41</v>
      </c>
      <c r="O82" s="14">
        <v>120.2</v>
      </c>
      <c r="P82" s="16"/>
      <c r="Q82" s="14">
        <v>116.03</v>
      </c>
    </row>
    <row r="83" spans="1:17" ht="15" customHeight="1" x14ac:dyDescent="0.25">
      <c r="A83" s="29" t="s">
        <v>103</v>
      </c>
      <c r="B83" s="31" t="s">
        <v>172</v>
      </c>
      <c r="C83" s="12">
        <v>103.78</v>
      </c>
      <c r="D83" s="15">
        <f t="shared" si="1"/>
        <v>-3.1697243300354838E-3</v>
      </c>
      <c r="E83" s="12">
        <v>110.34</v>
      </c>
      <c r="F83" s="12">
        <v>203.71</v>
      </c>
      <c r="G83" s="12">
        <v>100.42</v>
      </c>
      <c r="H83" s="12">
        <v>95.48</v>
      </c>
      <c r="I83" s="12">
        <v>113.53</v>
      </c>
      <c r="J83" s="12">
        <v>102.54</v>
      </c>
      <c r="K83" s="12">
        <v>102.54</v>
      </c>
      <c r="L83" s="12">
        <v>105.4</v>
      </c>
      <c r="M83" s="12">
        <v>84.45</v>
      </c>
      <c r="N83" s="12">
        <v>120.41</v>
      </c>
      <c r="O83" s="12">
        <v>120.19</v>
      </c>
      <c r="P83" s="13"/>
      <c r="Q83" s="12">
        <v>113.65</v>
      </c>
    </row>
    <row r="84" spans="1:17" ht="15" customHeight="1" x14ac:dyDescent="0.25">
      <c r="A84" s="29" t="s">
        <v>104</v>
      </c>
      <c r="B84" s="30" t="s">
        <v>172</v>
      </c>
      <c r="C84" s="14">
        <v>103.32</v>
      </c>
      <c r="D84" s="15">
        <f t="shared" si="1"/>
        <v>-4.4324532665254157E-3</v>
      </c>
      <c r="E84" s="14">
        <v>109.97</v>
      </c>
      <c r="F84" s="14">
        <v>203.69</v>
      </c>
      <c r="G84" s="14">
        <v>100.48</v>
      </c>
      <c r="H84" s="14">
        <v>94.7</v>
      </c>
      <c r="I84" s="14">
        <v>113.74</v>
      </c>
      <c r="J84" s="14">
        <v>102.54</v>
      </c>
      <c r="K84" s="14">
        <v>101.97</v>
      </c>
      <c r="L84" s="14">
        <v>105.41</v>
      </c>
      <c r="M84" s="14">
        <v>84.54</v>
      </c>
      <c r="N84" s="14">
        <v>120.58</v>
      </c>
      <c r="O84" s="14">
        <v>120.25</v>
      </c>
      <c r="P84" s="16"/>
      <c r="Q84" s="14">
        <v>112.83</v>
      </c>
    </row>
    <row r="85" spans="1:17" ht="15" customHeight="1" x14ac:dyDescent="0.25">
      <c r="A85" s="29" t="s">
        <v>105</v>
      </c>
      <c r="B85" s="31" t="s">
        <v>172</v>
      </c>
      <c r="C85" s="12">
        <v>103.04</v>
      </c>
      <c r="D85" s="15">
        <f t="shared" si="1"/>
        <v>-2.7100271002709064E-3</v>
      </c>
      <c r="E85" s="12">
        <v>109.31</v>
      </c>
      <c r="F85" s="12">
        <v>203.67</v>
      </c>
      <c r="G85" s="12">
        <v>105.54</v>
      </c>
      <c r="H85" s="12">
        <v>93.49</v>
      </c>
      <c r="I85" s="12">
        <v>114.42</v>
      </c>
      <c r="J85" s="12">
        <v>102.56</v>
      </c>
      <c r="K85" s="12">
        <v>102.44</v>
      </c>
      <c r="L85" s="12">
        <v>105.68</v>
      </c>
      <c r="M85" s="12">
        <v>83.67</v>
      </c>
      <c r="N85" s="12">
        <v>120.58</v>
      </c>
      <c r="O85" s="12">
        <v>121.43</v>
      </c>
      <c r="P85" s="13"/>
      <c r="Q85" s="12">
        <v>114.95</v>
      </c>
    </row>
    <row r="86" spans="1:17" ht="15" customHeight="1" x14ac:dyDescent="0.25">
      <c r="A86" s="29" t="s">
        <v>106</v>
      </c>
      <c r="B86" s="30" t="s">
        <v>172</v>
      </c>
      <c r="C86" s="14">
        <v>102.53</v>
      </c>
      <c r="D86" s="15">
        <f t="shared" si="1"/>
        <v>-4.9495341614906874E-3</v>
      </c>
      <c r="E86" s="14">
        <v>108.48</v>
      </c>
      <c r="F86" s="14">
        <v>203.72</v>
      </c>
      <c r="G86" s="14">
        <v>105.54</v>
      </c>
      <c r="H86" s="14">
        <v>92.7</v>
      </c>
      <c r="I86" s="14">
        <v>114.38</v>
      </c>
      <c r="J86" s="14">
        <v>102.56</v>
      </c>
      <c r="K86" s="14">
        <v>102.25</v>
      </c>
      <c r="L86" s="14">
        <v>105.62</v>
      </c>
      <c r="M86" s="14">
        <v>83.55</v>
      </c>
      <c r="N86" s="14">
        <v>120.58</v>
      </c>
      <c r="O86" s="14">
        <v>121.38</v>
      </c>
      <c r="P86" s="16"/>
      <c r="Q86" s="14">
        <v>114.54</v>
      </c>
    </row>
    <row r="87" spans="1:17" ht="15" customHeight="1" x14ac:dyDescent="0.25">
      <c r="A87" s="29" t="s">
        <v>107</v>
      </c>
      <c r="B87" s="31" t="s">
        <v>172</v>
      </c>
      <c r="C87" s="12">
        <v>102.14</v>
      </c>
      <c r="D87" s="15">
        <f t="shared" si="1"/>
        <v>-3.8037647517800144E-3</v>
      </c>
      <c r="E87" s="12">
        <v>108.08</v>
      </c>
      <c r="F87" s="12">
        <v>203.72</v>
      </c>
      <c r="G87" s="12">
        <v>105.54</v>
      </c>
      <c r="H87" s="12">
        <v>91.41</v>
      </c>
      <c r="I87" s="12">
        <v>114.41</v>
      </c>
      <c r="J87" s="12">
        <v>102.56</v>
      </c>
      <c r="K87" s="12">
        <v>103.94</v>
      </c>
      <c r="L87" s="12">
        <v>105.66</v>
      </c>
      <c r="M87" s="12">
        <v>83.34</v>
      </c>
      <c r="N87" s="12">
        <v>120.58</v>
      </c>
      <c r="O87" s="12">
        <v>121.45</v>
      </c>
      <c r="P87" s="13"/>
      <c r="Q87" s="12">
        <v>115.34</v>
      </c>
    </row>
    <row r="88" spans="1:17" ht="15" customHeight="1" x14ac:dyDescent="0.25">
      <c r="A88" s="29" t="s">
        <v>108</v>
      </c>
      <c r="B88" s="30" t="s">
        <v>172</v>
      </c>
      <c r="C88" s="14">
        <v>101.46</v>
      </c>
      <c r="D88" s="15">
        <f t="shared" si="1"/>
        <v>-6.657528881926833E-3</v>
      </c>
      <c r="E88" s="14">
        <v>108.11</v>
      </c>
      <c r="F88" s="14">
        <v>203.66</v>
      </c>
      <c r="G88" s="14">
        <v>97.87</v>
      </c>
      <c r="H88" s="14">
        <v>90.48</v>
      </c>
      <c r="I88" s="14">
        <v>114.56</v>
      </c>
      <c r="J88" s="14">
        <v>102.49</v>
      </c>
      <c r="K88" s="14">
        <v>103.08</v>
      </c>
      <c r="L88" s="14">
        <v>105.69</v>
      </c>
      <c r="M88" s="14">
        <v>84.39</v>
      </c>
      <c r="N88" s="14">
        <v>120.58</v>
      </c>
      <c r="O88" s="14">
        <v>121.81</v>
      </c>
      <c r="P88" s="16"/>
      <c r="Q88" s="14">
        <v>113.83</v>
      </c>
    </row>
    <row r="89" spans="1:17" ht="15" customHeight="1" x14ac:dyDescent="0.25">
      <c r="A89" s="29" t="s">
        <v>109</v>
      </c>
      <c r="B89" s="31" t="s">
        <v>172</v>
      </c>
      <c r="C89" s="12">
        <v>101.03</v>
      </c>
      <c r="D89" s="15">
        <f t="shared" si="1"/>
        <v>-4.2381233983834754E-3</v>
      </c>
      <c r="E89" s="12">
        <v>106.83</v>
      </c>
      <c r="F89" s="12">
        <v>203.64</v>
      </c>
      <c r="G89" s="12">
        <v>97.87</v>
      </c>
      <c r="H89" s="12">
        <v>89.78</v>
      </c>
      <c r="I89" s="12">
        <v>114.59</v>
      </c>
      <c r="J89" s="12">
        <v>102.49</v>
      </c>
      <c r="K89" s="12">
        <v>102.43</v>
      </c>
      <c r="L89" s="12">
        <v>105.7</v>
      </c>
      <c r="M89" s="12">
        <v>83.57</v>
      </c>
      <c r="N89" s="12">
        <v>120.58</v>
      </c>
      <c r="O89" s="12">
        <v>121.78</v>
      </c>
      <c r="P89" s="13"/>
      <c r="Q89" s="12">
        <v>115.64</v>
      </c>
    </row>
    <row r="90" spans="1:17" ht="15" customHeight="1" x14ac:dyDescent="0.25">
      <c r="A90" s="29" t="s">
        <v>110</v>
      </c>
      <c r="B90" s="30" t="s">
        <v>172</v>
      </c>
      <c r="C90" s="14">
        <v>101.01</v>
      </c>
      <c r="D90" s="15">
        <f t="shared" si="1"/>
        <v>-1.9796100168267827E-4</v>
      </c>
      <c r="E90" s="14">
        <v>105.61</v>
      </c>
      <c r="F90" s="14">
        <v>205.28</v>
      </c>
      <c r="G90" s="14">
        <v>101.29</v>
      </c>
      <c r="H90" s="14">
        <v>89.04</v>
      </c>
      <c r="I90" s="14">
        <v>114.66</v>
      </c>
      <c r="J90" s="14">
        <v>103.72</v>
      </c>
      <c r="K90" s="14">
        <v>124.91</v>
      </c>
      <c r="L90" s="14">
        <v>105.97</v>
      </c>
      <c r="M90" s="14">
        <v>84.27</v>
      </c>
      <c r="N90" s="14">
        <v>120.58</v>
      </c>
      <c r="O90" s="14">
        <v>121.64</v>
      </c>
      <c r="P90" s="16"/>
      <c r="Q90" s="14">
        <v>115.98</v>
      </c>
    </row>
    <row r="91" spans="1:17" ht="15" customHeight="1" x14ac:dyDescent="0.25">
      <c r="A91" s="29" t="s">
        <v>111</v>
      </c>
      <c r="B91" s="31" t="s">
        <v>172</v>
      </c>
      <c r="C91" s="12">
        <v>101.19</v>
      </c>
      <c r="D91" s="15">
        <f t="shared" si="1"/>
        <v>1.7820017820016076E-3</v>
      </c>
      <c r="E91" s="12">
        <v>105.67</v>
      </c>
      <c r="F91" s="12">
        <v>205.16</v>
      </c>
      <c r="G91" s="12">
        <v>101.29</v>
      </c>
      <c r="H91" s="12">
        <v>88.54</v>
      </c>
      <c r="I91" s="12">
        <v>114.47</v>
      </c>
      <c r="J91" s="12">
        <v>102.45</v>
      </c>
      <c r="K91" s="12">
        <v>119.69</v>
      </c>
      <c r="L91" s="12">
        <v>105.92</v>
      </c>
      <c r="M91" s="12">
        <v>84.94</v>
      </c>
      <c r="N91" s="12">
        <v>120.58</v>
      </c>
      <c r="O91" s="12">
        <v>121.54</v>
      </c>
      <c r="P91" s="13"/>
      <c r="Q91" s="12">
        <v>115.53</v>
      </c>
    </row>
    <row r="92" spans="1:17" ht="15" customHeight="1" x14ac:dyDescent="0.25">
      <c r="A92" s="29" t="s">
        <v>112</v>
      </c>
      <c r="B92" s="30" t="s">
        <v>172</v>
      </c>
      <c r="C92" s="14">
        <v>101.14</v>
      </c>
      <c r="D92" s="15">
        <f t="shared" si="1"/>
        <v>-4.9411997232928773E-4</v>
      </c>
      <c r="E92" s="14">
        <v>106.61</v>
      </c>
      <c r="F92" s="14">
        <v>202.49</v>
      </c>
      <c r="G92" s="14">
        <v>100.31</v>
      </c>
      <c r="H92" s="14">
        <v>88.13</v>
      </c>
      <c r="I92" s="14">
        <v>114.35</v>
      </c>
      <c r="J92" s="14">
        <v>102.66</v>
      </c>
      <c r="K92" s="14">
        <v>116.08</v>
      </c>
      <c r="L92" s="14">
        <v>105.64</v>
      </c>
      <c r="M92" s="14">
        <v>83.43</v>
      </c>
      <c r="N92" s="14">
        <v>120.58</v>
      </c>
      <c r="O92" s="14">
        <v>121.54</v>
      </c>
      <c r="P92" s="16"/>
      <c r="Q92" s="14">
        <v>115.11</v>
      </c>
    </row>
    <row r="93" spans="1:17" ht="15" customHeight="1" x14ac:dyDescent="0.25">
      <c r="A93" s="29" t="s">
        <v>113</v>
      </c>
      <c r="B93" s="31" t="s">
        <v>172</v>
      </c>
      <c r="C93" s="12">
        <v>101.29</v>
      </c>
      <c r="D93" s="15">
        <f t="shared" si="1"/>
        <v>1.4830927427329499E-3</v>
      </c>
      <c r="E93" s="12">
        <v>107.45</v>
      </c>
      <c r="F93" s="12">
        <v>202.49</v>
      </c>
      <c r="G93" s="12">
        <v>100.43</v>
      </c>
      <c r="H93" s="12">
        <v>87.73</v>
      </c>
      <c r="I93" s="12">
        <v>114.32</v>
      </c>
      <c r="J93" s="12">
        <v>102.66</v>
      </c>
      <c r="K93" s="12">
        <v>117.23</v>
      </c>
      <c r="L93" s="12">
        <v>105.65</v>
      </c>
      <c r="M93" s="12">
        <v>83.29</v>
      </c>
      <c r="N93" s="12">
        <v>120.58</v>
      </c>
      <c r="O93" s="12">
        <v>121.5</v>
      </c>
      <c r="P93" s="13"/>
      <c r="Q93" s="12">
        <v>115.73</v>
      </c>
    </row>
    <row r="94" spans="1:17" ht="15" customHeight="1" x14ac:dyDescent="0.25">
      <c r="A94" s="29" t="s">
        <v>114</v>
      </c>
      <c r="B94" s="30" t="s">
        <v>172</v>
      </c>
      <c r="C94" s="14">
        <v>101.56</v>
      </c>
      <c r="D94" s="15">
        <f t="shared" si="1"/>
        <v>2.6656135847566986E-3</v>
      </c>
      <c r="E94" s="14">
        <v>108.41</v>
      </c>
      <c r="F94" s="14">
        <v>202.51</v>
      </c>
      <c r="G94" s="14">
        <v>100.43</v>
      </c>
      <c r="H94" s="14">
        <v>87.34</v>
      </c>
      <c r="I94" s="14">
        <v>114.58</v>
      </c>
      <c r="J94" s="14">
        <v>102.64</v>
      </c>
      <c r="K94" s="14">
        <v>116.32</v>
      </c>
      <c r="L94" s="14">
        <v>105.63</v>
      </c>
      <c r="M94" s="14">
        <v>84.2</v>
      </c>
      <c r="N94" s="14">
        <v>120.58</v>
      </c>
      <c r="O94" s="14">
        <v>121.58</v>
      </c>
      <c r="P94" s="16"/>
      <c r="Q94" s="14">
        <v>113.79</v>
      </c>
    </row>
    <row r="95" spans="1:17" ht="15" customHeight="1" x14ac:dyDescent="0.25">
      <c r="A95" s="29" t="s">
        <v>115</v>
      </c>
      <c r="B95" s="31" t="s">
        <v>172</v>
      </c>
      <c r="C95" s="12">
        <v>101.81</v>
      </c>
      <c r="D95" s="15">
        <f t="shared" si="1"/>
        <v>2.4615990547458555E-3</v>
      </c>
      <c r="E95" s="12">
        <v>109.87</v>
      </c>
      <c r="F95" s="12">
        <v>202.51</v>
      </c>
      <c r="G95" s="12">
        <v>103.37</v>
      </c>
      <c r="H95" s="12">
        <v>86.99</v>
      </c>
      <c r="I95" s="12">
        <v>115.07</v>
      </c>
      <c r="J95" s="12">
        <v>102.45</v>
      </c>
      <c r="K95" s="12">
        <v>112.03</v>
      </c>
      <c r="L95" s="12">
        <v>105.67</v>
      </c>
      <c r="M95" s="12">
        <v>84.43</v>
      </c>
      <c r="N95" s="12">
        <v>120.58</v>
      </c>
      <c r="O95" s="12">
        <v>121.62</v>
      </c>
      <c r="P95" s="13"/>
      <c r="Q95" s="12">
        <v>115.32</v>
      </c>
    </row>
    <row r="96" spans="1:17" ht="15" customHeight="1" x14ac:dyDescent="0.25">
      <c r="A96" s="29" t="s">
        <v>116</v>
      </c>
      <c r="B96" s="30" t="s">
        <v>172</v>
      </c>
      <c r="C96" s="14">
        <v>101.77</v>
      </c>
      <c r="D96" s="15">
        <f t="shared" si="1"/>
        <v>-3.9288871427178851E-4</v>
      </c>
      <c r="E96" s="14">
        <v>111.24</v>
      </c>
      <c r="F96" s="14">
        <v>202.52</v>
      </c>
      <c r="G96" s="14">
        <v>103.37</v>
      </c>
      <c r="H96" s="14">
        <v>86.68</v>
      </c>
      <c r="I96" s="14">
        <v>115.11</v>
      </c>
      <c r="J96" s="14">
        <v>102.45</v>
      </c>
      <c r="K96" s="14">
        <v>110.27</v>
      </c>
      <c r="L96" s="14">
        <v>105.71</v>
      </c>
      <c r="M96" s="14">
        <v>84.84</v>
      </c>
      <c r="N96" s="14">
        <v>120.58</v>
      </c>
      <c r="O96" s="14">
        <v>121.73</v>
      </c>
      <c r="P96" s="16"/>
      <c r="Q96" s="14">
        <v>115.79</v>
      </c>
    </row>
    <row r="97" spans="1:17" ht="15" customHeight="1" x14ac:dyDescent="0.25">
      <c r="A97" s="29" t="s">
        <v>117</v>
      </c>
      <c r="B97" s="31" t="s">
        <v>172</v>
      </c>
      <c r="C97" s="12">
        <v>102.46</v>
      </c>
      <c r="D97" s="15">
        <f t="shared" si="1"/>
        <v>6.7799941043529266E-3</v>
      </c>
      <c r="E97" s="12">
        <v>113.13</v>
      </c>
      <c r="F97" s="12">
        <v>202.5</v>
      </c>
      <c r="G97" s="12">
        <v>103.37</v>
      </c>
      <c r="H97" s="12">
        <v>86.41</v>
      </c>
      <c r="I97" s="12">
        <v>115.17</v>
      </c>
      <c r="J97" s="12">
        <v>102.49</v>
      </c>
      <c r="K97" s="12">
        <v>110.04</v>
      </c>
      <c r="L97" s="12">
        <v>105.74</v>
      </c>
      <c r="M97" s="12">
        <v>88.47</v>
      </c>
      <c r="N97" s="12">
        <v>120.58</v>
      </c>
      <c r="O97" s="12">
        <v>123.01</v>
      </c>
      <c r="P97" s="13"/>
      <c r="Q97" s="12">
        <v>114.74</v>
      </c>
    </row>
    <row r="98" spans="1:17" ht="15" customHeight="1" x14ac:dyDescent="0.25">
      <c r="A98" s="29" t="s">
        <v>118</v>
      </c>
      <c r="B98" s="30" t="s">
        <v>172</v>
      </c>
      <c r="C98" s="14">
        <v>103.14</v>
      </c>
      <c r="D98" s="15">
        <f t="shared" si="1"/>
        <v>6.6367362873316349E-3</v>
      </c>
      <c r="E98" s="14">
        <v>113.27</v>
      </c>
      <c r="F98" s="14">
        <v>203.64</v>
      </c>
      <c r="G98" s="14">
        <v>97.87</v>
      </c>
      <c r="H98" s="14">
        <v>86.46</v>
      </c>
      <c r="I98" s="14">
        <v>115.21</v>
      </c>
      <c r="J98" s="14">
        <v>102.49</v>
      </c>
      <c r="K98" s="14">
        <v>107.44</v>
      </c>
      <c r="L98" s="14">
        <v>105.68</v>
      </c>
      <c r="M98" s="14">
        <v>88.79</v>
      </c>
      <c r="N98" s="14">
        <v>120.58</v>
      </c>
      <c r="O98" s="14">
        <v>124.09</v>
      </c>
      <c r="P98" s="16"/>
      <c r="Q98" s="14">
        <v>114.91</v>
      </c>
    </row>
    <row r="99" spans="1:17" ht="15" customHeight="1" x14ac:dyDescent="0.25">
      <c r="A99" s="29" t="s">
        <v>119</v>
      </c>
      <c r="B99" s="31" t="s">
        <v>172</v>
      </c>
      <c r="C99" s="12">
        <v>103.23</v>
      </c>
      <c r="D99" s="15">
        <f t="shared" si="1"/>
        <v>8.7260034904024231E-4</v>
      </c>
      <c r="E99" s="12">
        <v>113.3</v>
      </c>
      <c r="F99" s="12">
        <v>205.27</v>
      </c>
      <c r="G99" s="12">
        <v>97.87</v>
      </c>
      <c r="H99" s="12">
        <v>86.33</v>
      </c>
      <c r="I99" s="12">
        <v>115.52</v>
      </c>
      <c r="J99" s="12">
        <v>103.75</v>
      </c>
      <c r="K99" s="12">
        <v>125.41</v>
      </c>
      <c r="L99" s="12">
        <v>106</v>
      </c>
      <c r="M99" s="12">
        <v>92.77</v>
      </c>
      <c r="N99" s="12">
        <v>120.58</v>
      </c>
      <c r="O99" s="12">
        <v>124.33</v>
      </c>
      <c r="P99" s="13"/>
      <c r="Q99" s="12">
        <v>116.23</v>
      </c>
    </row>
    <row r="100" spans="1:17" ht="15" customHeight="1" x14ac:dyDescent="0.25">
      <c r="A100" s="17" t="s">
        <v>120</v>
      </c>
      <c r="B100" s="28" t="s">
        <v>173</v>
      </c>
      <c r="C100" s="18">
        <v>101.44</v>
      </c>
      <c r="D100" s="15">
        <f t="shared" si="1"/>
        <v>-1.7339920565727085E-2</v>
      </c>
      <c r="E100" s="18">
        <v>103.9</v>
      </c>
      <c r="F100" s="18">
        <v>100.61</v>
      </c>
      <c r="G100" s="18">
        <v>102.5</v>
      </c>
      <c r="H100" s="18">
        <v>99.17</v>
      </c>
      <c r="I100" s="18">
        <v>100.77</v>
      </c>
      <c r="J100" s="18">
        <v>100.35</v>
      </c>
      <c r="K100" s="18">
        <v>106.35</v>
      </c>
      <c r="L100" s="18">
        <v>101.28</v>
      </c>
      <c r="M100" s="18">
        <v>99.44</v>
      </c>
      <c r="N100" s="18">
        <v>100</v>
      </c>
      <c r="O100" s="18">
        <v>106.12</v>
      </c>
      <c r="P100" s="18">
        <v>106.4</v>
      </c>
      <c r="Q100" s="18">
        <v>101.21</v>
      </c>
    </row>
    <row r="101" spans="1:17" ht="15" customHeight="1" x14ac:dyDescent="0.25">
      <c r="A101" s="32" t="s">
        <v>121</v>
      </c>
      <c r="B101" s="33" t="s">
        <v>173</v>
      </c>
      <c r="C101" s="34">
        <v>101.91</v>
      </c>
      <c r="D101" s="15">
        <f t="shared" si="1"/>
        <v>4.6332807570976797E-3</v>
      </c>
      <c r="E101" s="34">
        <v>103.89</v>
      </c>
      <c r="F101" s="34">
        <v>100.61</v>
      </c>
      <c r="G101" s="34">
        <v>102.5</v>
      </c>
      <c r="H101" s="34">
        <v>99.23</v>
      </c>
      <c r="I101" s="34">
        <v>100.86</v>
      </c>
      <c r="J101" s="34">
        <v>100.35</v>
      </c>
      <c r="K101" s="34">
        <v>110.59</v>
      </c>
      <c r="L101" s="34">
        <v>101.45</v>
      </c>
      <c r="M101" s="34">
        <v>102.09</v>
      </c>
      <c r="N101" s="34">
        <v>100</v>
      </c>
      <c r="O101" s="34">
        <v>105.82</v>
      </c>
      <c r="P101" s="34">
        <v>106.4</v>
      </c>
      <c r="Q101" s="34">
        <v>101.21</v>
      </c>
    </row>
    <row r="102" spans="1:17" ht="15" customHeight="1" x14ac:dyDescent="0.25">
      <c r="A102" s="32" t="s">
        <v>122</v>
      </c>
      <c r="B102" s="35" t="s">
        <v>173</v>
      </c>
      <c r="C102" s="36">
        <v>102.75</v>
      </c>
      <c r="D102" s="15">
        <f t="shared" si="1"/>
        <v>8.2425669708565685E-3</v>
      </c>
      <c r="E102" s="36">
        <v>103.51</v>
      </c>
      <c r="F102" s="36">
        <v>100.61</v>
      </c>
      <c r="G102" s="36">
        <v>107.92</v>
      </c>
      <c r="H102" s="36">
        <v>99.34</v>
      </c>
      <c r="I102" s="36">
        <v>100.81</v>
      </c>
      <c r="J102" s="36">
        <v>100.64</v>
      </c>
      <c r="K102" s="36">
        <v>117.23</v>
      </c>
      <c r="L102" s="36">
        <v>101.45</v>
      </c>
      <c r="M102" s="36">
        <v>111.81</v>
      </c>
      <c r="N102" s="36">
        <v>100.78</v>
      </c>
      <c r="O102" s="36">
        <v>105.22</v>
      </c>
      <c r="P102" s="36">
        <v>106.31</v>
      </c>
      <c r="Q102" s="36">
        <v>101.71</v>
      </c>
    </row>
    <row r="103" spans="1:17" ht="15" customHeight="1" x14ac:dyDescent="0.25">
      <c r="A103" s="32" t="s">
        <v>123</v>
      </c>
      <c r="B103" s="33" t="s">
        <v>173</v>
      </c>
      <c r="C103" s="34">
        <v>104.01</v>
      </c>
      <c r="D103" s="15">
        <f t="shared" si="1"/>
        <v>1.226277372262774E-2</v>
      </c>
      <c r="E103" s="34">
        <v>105.12</v>
      </c>
      <c r="F103" s="34">
        <v>100.61</v>
      </c>
      <c r="G103" s="34">
        <v>106.2</v>
      </c>
      <c r="H103" s="34">
        <v>99.54</v>
      </c>
      <c r="I103" s="34">
        <v>101.58</v>
      </c>
      <c r="J103" s="34">
        <v>100.57</v>
      </c>
      <c r="K103" s="34">
        <v>124.57</v>
      </c>
      <c r="L103" s="34">
        <v>101.44</v>
      </c>
      <c r="M103" s="34">
        <v>121.26</v>
      </c>
      <c r="N103" s="34">
        <v>100.34</v>
      </c>
      <c r="O103" s="34">
        <v>104.26</v>
      </c>
      <c r="P103" s="34">
        <v>106.4</v>
      </c>
      <c r="Q103" s="34">
        <v>101.77</v>
      </c>
    </row>
    <row r="104" spans="1:17" ht="15" customHeight="1" x14ac:dyDescent="0.25">
      <c r="A104" s="32" t="s">
        <v>124</v>
      </c>
      <c r="B104" s="35" t="s">
        <v>173</v>
      </c>
      <c r="C104" s="36">
        <v>104.08</v>
      </c>
      <c r="D104" s="15">
        <f t="shared" si="1"/>
        <v>6.7301221036442094E-4</v>
      </c>
      <c r="E104" s="36">
        <v>106.01</v>
      </c>
      <c r="F104" s="36">
        <v>97.35</v>
      </c>
      <c r="G104" s="36">
        <v>106.2</v>
      </c>
      <c r="H104" s="36">
        <v>99.69</v>
      </c>
      <c r="I104" s="36">
        <v>102.05</v>
      </c>
      <c r="J104" s="36">
        <v>100.57</v>
      </c>
      <c r="K104" s="36">
        <v>123.33</v>
      </c>
      <c r="L104" s="36">
        <v>101.39</v>
      </c>
      <c r="M104" s="36">
        <v>119.49</v>
      </c>
      <c r="N104" s="36">
        <v>100.34</v>
      </c>
      <c r="O104" s="36">
        <v>104.52</v>
      </c>
      <c r="P104" s="36">
        <v>106.02</v>
      </c>
      <c r="Q104" s="36">
        <v>102.36</v>
      </c>
    </row>
    <row r="105" spans="1:17" ht="15" customHeight="1" x14ac:dyDescent="0.25">
      <c r="A105" s="32" t="s">
        <v>125</v>
      </c>
      <c r="B105" s="33" t="s">
        <v>173</v>
      </c>
      <c r="C105" s="34">
        <v>105.35</v>
      </c>
      <c r="D105" s="15">
        <f t="shared" si="1"/>
        <v>1.2202152190622595E-2</v>
      </c>
      <c r="E105" s="34">
        <v>107.26</v>
      </c>
      <c r="F105" s="34">
        <v>98.12</v>
      </c>
      <c r="G105" s="34">
        <v>105.9</v>
      </c>
      <c r="H105" s="34">
        <v>99.96</v>
      </c>
      <c r="I105" s="34">
        <v>102.44</v>
      </c>
      <c r="J105" s="34">
        <v>100.57</v>
      </c>
      <c r="K105" s="34">
        <v>131.31</v>
      </c>
      <c r="L105" s="34">
        <v>101.39</v>
      </c>
      <c r="M105" s="34">
        <v>132.07</v>
      </c>
      <c r="N105" s="34">
        <v>100.34</v>
      </c>
      <c r="O105" s="34">
        <v>103.33</v>
      </c>
      <c r="P105" s="34">
        <v>106.02</v>
      </c>
      <c r="Q105" s="34">
        <v>103.21</v>
      </c>
    </row>
    <row r="106" spans="1:17" ht="15" customHeight="1" x14ac:dyDescent="0.25">
      <c r="A106" s="32" t="s">
        <v>126</v>
      </c>
      <c r="B106" s="35" t="s">
        <v>173</v>
      </c>
      <c r="C106" s="36">
        <v>106.89</v>
      </c>
      <c r="D106" s="15">
        <f t="shared" si="1"/>
        <v>1.46179401993356E-2</v>
      </c>
      <c r="E106" s="36">
        <v>108.04</v>
      </c>
      <c r="F106" s="36">
        <v>99.79</v>
      </c>
      <c r="G106" s="36">
        <v>104.14</v>
      </c>
      <c r="H106" s="36">
        <v>100.3</v>
      </c>
      <c r="I106" s="36">
        <v>102.64</v>
      </c>
      <c r="J106" s="36">
        <v>100.57</v>
      </c>
      <c r="K106" s="36">
        <v>141.75</v>
      </c>
      <c r="L106" s="36">
        <v>101.4</v>
      </c>
      <c r="M106" s="36">
        <v>141.59</v>
      </c>
      <c r="N106" s="36">
        <v>100.34</v>
      </c>
      <c r="O106" s="36">
        <v>105.07</v>
      </c>
      <c r="P106" s="36">
        <v>106.02</v>
      </c>
      <c r="Q106" s="36">
        <v>103.22</v>
      </c>
    </row>
    <row r="107" spans="1:17" ht="15" customHeight="1" x14ac:dyDescent="0.25">
      <c r="A107" s="32" t="s">
        <v>127</v>
      </c>
      <c r="B107" s="33" t="s">
        <v>173</v>
      </c>
      <c r="C107" s="34">
        <v>106.09</v>
      </c>
      <c r="D107" s="15">
        <f t="shared" si="1"/>
        <v>-7.4843296847225682E-3</v>
      </c>
      <c r="E107" s="34">
        <v>108.26</v>
      </c>
      <c r="F107" s="34">
        <v>100.61</v>
      </c>
      <c r="G107" s="34">
        <v>104.14</v>
      </c>
      <c r="H107" s="34">
        <v>100.94</v>
      </c>
      <c r="I107" s="34">
        <v>102.66</v>
      </c>
      <c r="J107" s="34">
        <v>100.52</v>
      </c>
      <c r="K107" s="34">
        <v>130.85</v>
      </c>
      <c r="L107" s="34">
        <v>101.36</v>
      </c>
      <c r="M107" s="34">
        <v>135.21</v>
      </c>
      <c r="N107" s="34">
        <v>100.34</v>
      </c>
      <c r="O107" s="34">
        <v>104.75</v>
      </c>
      <c r="P107" s="34">
        <v>106.02</v>
      </c>
      <c r="Q107" s="34">
        <v>103.43</v>
      </c>
    </row>
    <row r="108" spans="1:17" ht="15" customHeight="1" x14ac:dyDescent="0.25">
      <c r="A108" s="32" t="s">
        <v>128</v>
      </c>
      <c r="B108" s="35" t="s">
        <v>173</v>
      </c>
      <c r="C108" s="36">
        <v>105.43</v>
      </c>
      <c r="D108" s="15">
        <f t="shared" si="1"/>
        <v>-6.2211330002827081E-3</v>
      </c>
      <c r="E108" s="36">
        <v>108.59</v>
      </c>
      <c r="F108" s="36">
        <v>100.61</v>
      </c>
      <c r="G108" s="36">
        <v>104.14</v>
      </c>
      <c r="H108" s="36">
        <v>101.45</v>
      </c>
      <c r="I108" s="36">
        <v>102.95</v>
      </c>
      <c r="J108" s="36">
        <v>100.52</v>
      </c>
      <c r="K108" s="36">
        <v>120.54</v>
      </c>
      <c r="L108" s="36">
        <v>101.39</v>
      </c>
      <c r="M108" s="36">
        <v>131.72</v>
      </c>
      <c r="N108" s="36">
        <v>100.34</v>
      </c>
      <c r="O108" s="36">
        <v>105.92</v>
      </c>
      <c r="P108" s="36">
        <v>106.23</v>
      </c>
      <c r="Q108" s="36">
        <v>103.65</v>
      </c>
    </row>
    <row r="109" spans="1:17" ht="15" customHeight="1" x14ac:dyDescent="0.25">
      <c r="A109" s="32" t="s">
        <v>129</v>
      </c>
      <c r="B109" s="33" t="s">
        <v>173</v>
      </c>
      <c r="C109" s="34">
        <v>105.27</v>
      </c>
      <c r="D109" s="15">
        <f t="shared" si="1"/>
        <v>-1.517594612539197E-3</v>
      </c>
      <c r="E109" s="34">
        <v>108.86</v>
      </c>
      <c r="F109" s="34">
        <v>100.61</v>
      </c>
      <c r="G109" s="34">
        <v>104.14</v>
      </c>
      <c r="H109" s="34">
        <v>102.05</v>
      </c>
      <c r="I109" s="34">
        <v>103.03</v>
      </c>
      <c r="J109" s="34">
        <v>100.52</v>
      </c>
      <c r="K109" s="34">
        <v>114.58</v>
      </c>
      <c r="L109" s="34">
        <v>101.15</v>
      </c>
      <c r="M109" s="34">
        <v>128.88999999999999</v>
      </c>
      <c r="N109" s="34">
        <v>100.78</v>
      </c>
      <c r="O109" s="34">
        <v>108.99</v>
      </c>
      <c r="P109" s="34">
        <v>106.41</v>
      </c>
      <c r="Q109" s="34">
        <v>103.76</v>
      </c>
    </row>
    <row r="110" spans="1:17" ht="15" customHeight="1" x14ac:dyDescent="0.25">
      <c r="A110" s="32" t="s">
        <v>130</v>
      </c>
      <c r="B110" s="35" t="s">
        <v>173</v>
      </c>
      <c r="C110" s="36">
        <v>106.1</v>
      </c>
      <c r="D110" s="15">
        <f t="shared" si="1"/>
        <v>7.8844875083119437E-3</v>
      </c>
      <c r="E110" s="36">
        <v>108.35</v>
      </c>
      <c r="F110" s="36">
        <v>100.61</v>
      </c>
      <c r="G110" s="36">
        <v>102.5</v>
      </c>
      <c r="H110" s="36">
        <v>102.64</v>
      </c>
      <c r="I110" s="36">
        <v>103.48</v>
      </c>
      <c r="J110" s="36">
        <v>100.35</v>
      </c>
      <c r="K110" s="36">
        <v>119.61</v>
      </c>
      <c r="L110" s="36">
        <v>101.17</v>
      </c>
      <c r="M110" s="36">
        <v>125.37</v>
      </c>
      <c r="N110" s="36">
        <v>100.78</v>
      </c>
      <c r="O110" s="36">
        <v>111.49</v>
      </c>
      <c r="P110" s="36">
        <v>106.41</v>
      </c>
      <c r="Q110" s="36">
        <v>103.85</v>
      </c>
    </row>
    <row r="111" spans="1:17" ht="15" customHeight="1" x14ac:dyDescent="0.25">
      <c r="A111" s="32" t="s">
        <v>131</v>
      </c>
      <c r="B111" s="33" t="s">
        <v>173</v>
      </c>
      <c r="C111" s="34">
        <v>106.71</v>
      </c>
      <c r="D111" s="15">
        <f t="shared" si="1"/>
        <v>5.7492931196982955E-3</v>
      </c>
      <c r="E111" s="34">
        <v>108.19</v>
      </c>
      <c r="F111" s="34">
        <v>97.35</v>
      </c>
      <c r="G111" s="34">
        <v>102.5</v>
      </c>
      <c r="H111" s="34">
        <v>103.14</v>
      </c>
      <c r="I111" s="34">
        <v>103.87</v>
      </c>
      <c r="J111" s="34">
        <v>100.35</v>
      </c>
      <c r="K111" s="34">
        <v>121.77</v>
      </c>
      <c r="L111" s="34">
        <v>101.08</v>
      </c>
      <c r="M111" s="34">
        <v>131.83000000000001</v>
      </c>
      <c r="N111" s="34">
        <v>100.78</v>
      </c>
      <c r="O111" s="34">
        <v>112.28</v>
      </c>
      <c r="P111" s="34">
        <v>106.41</v>
      </c>
      <c r="Q111" s="34">
        <v>104.09</v>
      </c>
    </row>
    <row r="112" spans="1:17" ht="15" customHeight="1" x14ac:dyDescent="0.25">
      <c r="A112" s="32" t="s">
        <v>132</v>
      </c>
      <c r="B112" s="35" t="s">
        <v>173</v>
      </c>
      <c r="C112" s="36">
        <v>106.09</v>
      </c>
      <c r="D112" s="15">
        <f t="shared" si="1"/>
        <v>-5.8101396307749242E-3</v>
      </c>
      <c r="E112" s="36">
        <v>109.66</v>
      </c>
      <c r="F112" s="36">
        <v>92.45</v>
      </c>
      <c r="G112" s="36">
        <v>108.06</v>
      </c>
      <c r="H112" s="36">
        <v>103.57</v>
      </c>
      <c r="I112" s="36">
        <v>110.34</v>
      </c>
      <c r="J112" s="36">
        <v>101.18</v>
      </c>
      <c r="K112" s="36">
        <v>111.23</v>
      </c>
      <c r="L112" s="36">
        <v>101.61</v>
      </c>
      <c r="M112" s="36">
        <v>123.45</v>
      </c>
      <c r="N112" s="36">
        <v>100.78</v>
      </c>
      <c r="O112" s="36">
        <v>110.65</v>
      </c>
      <c r="P112" s="36">
        <v>107.08</v>
      </c>
      <c r="Q112" s="36">
        <v>105.13</v>
      </c>
    </row>
    <row r="113" spans="1:17" ht="15" customHeight="1" x14ac:dyDescent="0.25">
      <c r="A113" s="32" t="s">
        <v>133</v>
      </c>
      <c r="B113" s="33" t="s">
        <v>173</v>
      </c>
      <c r="C113" s="34">
        <v>106.91</v>
      </c>
      <c r="D113" s="15">
        <f t="shared" si="1"/>
        <v>7.7292864548967888E-3</v>
      </c>
      <c r="E113" s="34">
        <v>110.43</v>
      </c>
      <c r="F113" s="34">
        <v>92.45</v>
      </c>
      <c r="G113" s="34">
        <v>110.71</v>
      </c>
      <c r="H113" s="34">
        <v>104.06</v>
      </c>
      <c r="I113" s="34">
        <v>110.37</v>
      </c>
      <c r="J113" s="34">
        <v>101.18</v>
      </c>
      <c r="K113" s="34">
        <v>115.32</v>
      </c>
      <c r="L113" s="34">
        <v>101.62</v>
      </c>
      <c r="M113" s="34">
        <v>123.65</v>
      </c>
      <c r="N113" s="34">
        <v>100.78</v>
      </c>
      <c r="O113" s="34">
        <v>110.55</v>
      </c>
      <c r="P113" s="34">
        <v>112.16</v>
      </c>
      <c r="Q113" s="34">
        <v>105.48</v>
      </c>
    </row>
    <row r="114" spans="1:17" ht="15" customHeight="1" x14ac:dyDescent="0.25">
      <c r="A114" s="32" t="s">
        <v>134</v>
      </c>
      <c r="B114" s="35" t="s">
        <v>173</v>
      </c>
      <c r="C114" s="36">
        <v>107.19</v>
      </c>
      <c r="D114" s="15">
        <f t="shared" si="1"/>
        <v>2.6190253484239534E-3</v>
      </c>
      <c r="E114" s="36">
        <v>110.01</v>
      </c>
      <c r="F114" s="36">
        <v>92.45</v>
      </c>
      <c r="G114" s="36">
        <v>110.71</v>
      </c>
      <c r="H114" s="36">
        <v>104.57</v>
      </c>
      <c r="I114" s="36">
        <v>110.31</v>
      </c>
      <c r="J114" s="36">
        <v>101.27</v>
      </c>
      <c r="K114" s="36">
        <v>115.91</v>
      </c>
      <c r="L114" s="36">
        <v>101.69</v>
      </c>
      <c r="M114" s="36">
        <v>125.73</v>
      </c>
      <c r="N114" s="36">
        <v>104.24</v>
      </c>
      <c r="O114" s="36">
        <v>109.88</v>
      </c>
      <c r="P114" s="36">
        <v>111.59</v>
      </c>
      <c r="Q114" s="36">
        <v>106.77</v>
      </c>
    </row>
    <row r="115" spans="1:17" ht="15" customHeight="1" x14ac:dyDescent="0.25">
      <c r="A115" s="32" t="s">
        <v>135</v>
      </c>
      <c r="B115" s="33" t="s">
        <v>173</v>
      </c>
      <c r="C115" s="34">
        <v>107.41</v>
      </c>
      <c r="D115" s="15">
        <f t="shared" si="1"/>
        <v>2.0524302640172465E-3</v>
      </c>
      <c r="E115" s="34">
        <v>111.2</v>
      </c>
      <c r="F115" s="34">
        <v>92.45</v>
      </c>
      <c r="G115" s="34">
        <v>108.65</v>
      </c>
      <c r="H115" s="34">
        <v>104.96</v>
      </c>
      <c r="I115" s="34">
        <v>110.32</v>
      </c>
      <c r="J115" s="34">
        <v>101.27</v>
      </c>
      <c r="K115" s="34">
        <v>113.94</v>
      </c>
      <c r="L115" s="34">
        <v>101.71</v>
      </c>
      <c r="M115" s="34">
        <v>129.78</v>
      </c>
      <c r="N115" s="34">
        <v>104.24</v>
      </c>
      <c r="O115" s="34">
        <v>109.7</v>
      </c>
      <c r="P115" s="34">
        <v>111.6</v>
      </c>
      <c r="Q115" s="34">
        <v>105.44</v>
      </c>
    </row>
    <row r="116" spans="1:17" ht="15" customHeight="1" x14ac:dyDescent="0.25">
      <c r="A116" s="32" t="s">
        <v>136</v>
      </c>
      <c r="B116" s="35" t="s">
        <v>173</v>
      </c>
      <c r="C116" s="36">
        <v>107.25</v>
      </c>
      <c r="D116" s="15">
        <f t="shared" si="1"/>
        <v>-1.4896192160878119E-3</v>
      </c>
      <c r="E116" s="36">
        <v>111.13</v>
      </c>
      <c r="F116" s="36">
        <v>92.45</v>
      </c>
      <c r="G116" s="36">
        <v>108.62</v>
      </c>
      <c r="H116" s="36">
        <v>105.4</v>
      </c>
      <c r="I116" s="36">
        <v>110.44</v>
      </c>
      <c r="J116" s="36">
        <v>101.26</v>
      </c>
      <c r="K116" s="36">
        <v>114.58</v>
      </c>
      <c r="L116" s="36">
        <v>101.73</v>
      </c>
      <c r="M116" s="36">
        <v>118.08</v>
      </c>
      <c r="N116" s="36">
        <v>101.9</v>
      </c>
      <c r="O116" s="36">
        <v>109.29</v>
      </c>
      <c r="P116" s="36">
        <v>111.6</v>
      </c>
      <c r="Q116" s="36">
        <v>104.62</v>
      </c>
    </row>
    <row r="117" spans="1:17" ht="15" customHeight="1" x14ac:dyDescent="0.25">
      <c r="A117" s="32" t="s">
        <v>137</v>
      </c>
      <c r="B117" s="33" t="s">
        <v>173</v>
      </c>
      <c r="C117" s="34">
        <v>107.51</v>
      </c>
      <c r="D117" s="15">
        <f t="shared" si="1"/>
        <v>2.4242424242424399E-3</v>
      </c>
      <c r="E117" s="34">
        <v>111.4</v>
      </c>
      <c r="F117" s="34">
        <v>92.45</v>
      </c>
      <c r="G117" s="34">
        <v>107.82</v>
      </c>
      <c r="H117" s="34">
        <v>105.89</v>
      </c>
      <c r="I117" s="34">
        <v>110.31</v>
      </c>
      <c r="J117" s="34">
        <v>101.26</v>
      </c>
      <c r="K117" s="34">
        <v>113.12</v>
      </c>
      <c r="L117" s="34">
        <v>101.68</v>
      </c>
      <c r="M117" s="34">
        <v>126.3</v>
      </c>
      <c r="N117" s="34">
        <v>101.9</v>
      </c>
      <c r="O117" s="34">
        <v>108.36</v>
      </c>
      <c r="P117" s="34">
        <v>111.6</v>
      </c>
      <c r="Q117" s="34">
        <v>105.33</v>
      </c>
    </row>
    <row r="118" spans="1:17" ht="15" customHeight="1" x14ac:dyDescent="0.25">
      <c r="A118" s="32" t="s">
        <v>138</v>
      </c>
      <c r="B118" s="35" t="s">
        <v>173</v>
      </c>
      <c r="C118" s="36">
        <v>107.98</v>
      </c>
      <c r="D118" s="15">
        <f t="shared" si="1"/>
        <v>4.3716863547575979E-3</v>
      </c>
      <c r="E118" s="36">
        <v>111.5</v>
      </c>
      <c r="F118" s="36">
        <v>92.45</v>
      </c>
      <c r="G118" s="36">
        <v>108.41</v>
      </c>
      <c r="H118" s="36">
        <v>106.41</v>
      </c>
      <c r="I118" s="36">
        <v>110.52</v>
      </c>
      <c r="J118" s="36">
        <v>101.26</v>
      </c>
      <c r="K118" s="36">
        <v>113.78</v>
      </c>
      <c r="L118" s="36">
        <v>101.81</v>
      </c>
      <c r="M118" s="36">
        <v>132.05000000000001</v>
      </c>
      <c r="N118" s="36">
        <v>101.9</v>
      </c>
      <c r="O118" s="36">
        <v>108.77</v>
      </c>
      <c r="P118" s="36">
        <v>111.59</v>
      </c>
      <c r="Q118" s="36">
        <v>105.48</v>
      </c>
    </row>
    <row r="119" spans="1:17" ht="15" customHeight="1" x14ac:dyDescent="0.25">
      <c r="A119" s="32" t="s">
        <v>139</v>
      </c>
      <c r="B119" s="33" t="s">
        <v>173</v>
      </c>
      <c r="C119" s="34">
        <v>108.51</v>
      </c>
      <c r="D119" s="15">
        <f t="shared" si="1"/>
        <v>4.9083163548806485E-3</v>
      </c>
      <c r="E119" s="34">
        <v>111.87</v>
      </c>
      <c r="F119" s="34">
        <v>92.45</v>
      </c>
      <c r="G119" s="34">
        <v>108.41</v>
      </c>
      <c r="H119" s="34">
        <v>107.01</v>
      </c>
      <c r="I119" s="34">
        <v>110.58</v>
      </c>
      <c r="J119" s="34">
        <v>101.21</v>
      </c>
      <c r="K119" s="34">
        <v>116.26</v>
      </c>
      <c r="L119" s="34">
        <v>101.77</v>
      </c>
      <c r="M119" s="34">
        <v>134.13999999999999</v>
      </c>
      <c r="N119" s="34">
        <v>101.9</v>
      </c>
      <c r="O119" s="34">
        <v>108.06</v>
      </c>
      <c r="P119" s="34">
        <v>115.35</v>
      </c>
      <c r="Q119" s="34">
        <v>105.16</v>
      </c>
    </row>
    <row r="120" spans="1:17" ht="15" customHeight="1" x14ac:dyDescent="0.25">
      <c r="A120" s="32" t="s">
        <v>140</v>
      </c>
      <c r="B120" s="35" t="s">
        <v>173</v>
      </c>
      <c r="C120" s="36">
        <v>109.45</v>
      </c>
      <c r="D120" s="15">
        <f t="shared" si="1"/>
        <v>8.6627960556631134E-3</v>
      </c>
      <c r="E120" s="36">
        <v>112.91</v>
      </c>
      <c r="F120" s="36">
        <v>92.45</v>
      </c>
      <c r="G120" s="36">
        <v>108.41</v>
      </c>
      <c r="H120" s="36">
        <v>107.64</v>
      </c>
      <c r="I120" s="36">
        <v>110.59</v>
      </c>
      <c r="J120" s="36">
        <v>101.2</v>
      </c>
      <c r="K120" s="36">
        <v>120.06</v>
      </c>
      <c r="L120" s="36">
        <v>101.89</v>
      </c>
      <c r="M120" s="36">
        <v>130.19999999999999</v>
      </c>
      <c r="N120" s="36">
        <v>101.9</v>
      </c>
      <c r="O120" s="36">
        <v>109.06</v>
      </c>
      <c r="P120" s="36">
        <v>115.77</v>
      </c>
      <c r="Q120" s="36">
        <v>105.1</v>
      </c>
    </row>
    <row r="121" spans="1:17" ht="15" customHeight="1" x14ac:dyDescent="0.25">
      <c r="A121" s="32" t="s">
        <v>141</v>
      </c>
      <c r="B121" s="33" t="s">
        <v>173</v>
      </c>
      <c r="C121" s="34">
        <v>109.76</v>
      </c>
      <c r="D121" s="15">
        <f t="shared" si="1"/>
        <v>2.8323435358610372E-3</v>
      </c>
      <c r="E121" s="34">
        <v>112.69</v>
      </c>
      <c r="F121" s="34">
        <v>92.45</v>
      </c>
      <c r="G121" s="34">
        <v>109.48</v>
      </c>
      <c r="H121" s="34">
        <v>108.25</v>
      </c>
      <c r="I121" s="34">
        <v>110.52</v>
      </c>
      <c r="J121" s="34">
        <v>101.2</v>
      </c>
      <c r="K121" s="34">
        <v>119.96</v>
      </c>
      <c r="L121" s="34">
        <v>101.85</v>
      </c>
      <c r="M121" s="34">
        <v>125.61</v>
      </c>
      <c r="N121" s="34">
        <v>101.9</v>
      </c>
      <c r="O121" s="34">
        <v>112.19</v>
      </c>
      <c r="P121" s="34">
        <v>115.77</v>
      </c>
      <c r="Q121" s="34">
        <v>105.58</v>
      </c>
    </row>
    <row r="122" spans="1:17" ht="15" customHeight="1" x14ac:dyDescent="0.25">
      <c r="A122" s="32" t="s">
        <v>142</v>
      </c>
      <c r="B122" s="35" t="s">
        <v>173</v>
      </c>
      <c r="C122" s="36">
        <v>109.58</v>
      </c>
      <c r="D122" s="15">
        <f t="shared" si="1"/>
        <v>-1.6399416909621545E-3</v>
      </c>
      <c r="E122" s="36">
        <v>112.94</v>
      </c>
      <c r="F122" s="36">
        <v>92.45</v>
      </c>
      <c r="G122" s="36">
        <v>109.48</v>
      </c>
      <c r="H122" s="36">
        <v>108.85</v>
      </c>
      <c r="I122" s="36">
        <v>110.76</v>
      </c>
      <c r="J122" s="36">
        <v>101.18</v>
      </c>
      <c r="K122" s="36">
        <v>114.28</v>
      </c>
      <c r="L122" s="36">
        <v>101.84</v>
      </c>
      <c r="M122" s="36">
        <v>120.92</v>
      </c>
      <c r="N122" s="36">
        <v>100.78</v>
      </c>
      <c r="O122" s="36">
        <v>113.45</v>
      </c>
      <c r="P122" s="36">
        <v>116.27</v>
      </c>
      <c r="Q122" s="36">
        <v>105.3</v>
      </c>
    </row>
    <row r="123" spans="1:17" ht="15" customHeight="1" x14ac:dyDescent="0.25">
      <c r="A123" s="32" t="s">
        <v>143</v>
      </c>
      <c r="B123" s="33" t="s">
        <v>173</v>
      </c>
      <c r="C123" s="34">
        <v>110.2</v>
      </c>
      <c r="D123" s="15">
        <f t="shared" si="1"/>
        <v>5.6579667822596047E-3</v>
      </c>
      <c r="E123" s="34">
        <v>112.75</v>
      </c>
      <c r="F123" s="34">
        <v>92.45</v>
      </c>
      <c r="G123" s="34">
        <v>109.48</v>
      </c>
      <c r="H123" s="34">
        <v>109.4</v>
      </c>
      <c r="I123" s="34">
        <v>110.96</v>
      </c>
      <c r="J123" s="34">
        <v>101.27</v>
      </c>
      <c r="K123" s="34">
        <v>114.75</v>
      </c>
      <c r="L123" s="34">
        <v>101.88</v>
      </c>
      <c r="M123" s="34">
        <v>130.66999999999999</v>
      </c>
      <c r="N123" s="34">
        <v>100.78</v>
      </c>
      <c r="O123" s="34">
        <v>115.15</v>
      </c>
      <c r="P123" s="34">
        <v>116.27</v>
      </c>
      <c r="Q123" s="34">
        <v>105.87</v>
      </c>
    </row>
    <row r="124" spans="1:17" ht="15" customHeight="1" x14ac:dyDescent="0.25">
      <c r="A124" s="32" t="s">
        <v>144</v>
      </c>
      <c r="B124" s="35" t="s">
        <v>173</v>
      </c>
      <c r="C124" s="36">
        <v>109.91</v>
      </c>
      <c r="D124" s="15">
        <f t="shared" si="1"/>
        <v>-2.6315789473684292E-3</v>
      </c>
      <c r="E124" s="36">
        <v>113.72</v>
      </c>
      <c r="F124" s="36">
        <v>89.62</v>
      </c>
      <c r="G124" s="36">
        <v>110.71</v>
      </c>
      <c r="H124" s="36">
        <v>109.99</v>
      </c>
      <c r="I124" s="36">
        <v>110.95</v>
      </c>
      <c r="J124" s="36">
        <v>101.29</v>
      </c>
      <c r="K124" s="36">
        <v>110.08</v>
      </c>
      <c r="L124" s="36">
        <v>101.91</v>
      </c>
      <c r="M124" s="36">
        <v>121.8</v>
      </c>
      <c r="N124" s="36">
        <v>104.44</v>
      </c>
      <c r="O124" s="36">
        <v>112.93</v>
      </c>
      <c r="P124" s="36">
        <v>121.37</v>
      </c>
      <c r="Q124" s="36">
        <v>107.17</v>
      </c>
    </row>
    <row r="125" spans="1:17" ht="15" customHeight="1" x14ac:dyDescent="0.25">
      <c r="A125" s="32" t="s">
        <v>145</v>
      </c>
      <c r="B125" s="33" t="s">
        <v>173</v>
      </c>
      <c r="C125" s="34">
        <v>110.5</v>
      </c>
      <c r="D125" s="15">
        <f t="shared" si="1"/>
        <v>5.3680283868620116E-3</v>
      </c>
      <c r="E125" s="34">
        <v>113.83</v>
      </c>
      <c r="F125" s="34">
        <v>89.68</v>
      </c>
      <c r="G125" s="34">
        <v>113.18</v>
      </c>
      <c r="H125" s="34">
        <v>110.56</v>
      </c>
      <c r="I125" s="34">
        <v>111</v>
      </c>
      <c r="J125" s="34">
        <v>101.29</v>
      </c>
      <c r="K125" s="34">
        <v>111.75</v>
      </c>
      <c r="L125" s="34">
        <v>101.79</v>
      </c>
      <c r="M125" s="34">
        <v>122.71</v>
      </c>
      <c r="N125" s="34">
        <v>104.44</v>
      </c>
      <c r="O125" s="34">
        <v>113.61</v>
      </c>
      <c r="P125" s="34">
        <v>121.37</v>
      </c>
      <c r="Q125" s="34">
        <v>107.48</v>
      </c>
    </row>
    <row r="126" spans="1:17" ht="15" customHeight="1" x14ac:dyDescent="0.25">
      <c r="A126" s="32" t="s">
        <v>146</v>
      </c>
      <c r="B126" s="35" t="s">
        <v>173</v>
      </c>
      <c r="C126" s="36">
        <v>110.77</v>
      </c>
      <c r="D126" s="15">
        <f t="shared" si="1"/>
        <v>2.4434389140270962E-3</v>
      </c>
      <c r="E126" s="36">
        <v>113.42</v>
      </c>
      <c r="F126" s="36">
        <v>89.68</v>
      </c>
      <c r="G126" s="36">
        <v>113.18</v>
      </c>
      <c r="H126" s="36">
        <v>111.2</v>
      </c>
      <c r="I126" s="36">
        <v>110.94</v>
      </c>
      <c r="J126" s="36">
        <v>101.29</v>
      </c>
      <c r="K126" s="36">
        <v>113.7</v>
      </c>
      <c r="L126" s="36">
        <v>101.77</v>
      </c>
      <c r="M126" s="36">
        <v>125.78</v>
      </c>
      <c r="N126" s="36">
        <v>107.31</v>
      </c>
      <c r="O126" s="36">
        <v>111.17</v>
      </c>
      <c r="P126" s="36">
        <v>121.26</v>
      </c>
      <c r="Q126" s="36">
        <v>106.49</v>
      </c>
    </row>
    <row r="127" spans="1:17" ht="15" customHeight="1" x14ac:dyDescent="0.25">
      <c r="A127" s="32" t="s">
        <v>147</v>
      </c>
      <c r="B127" s="33" t="s">
        <v>173</v>
      </c>
      <c r="C127" s="34">
        <v>111.61</v>
      </c>
      <c r="D127" s="15">
        <f t="shared" si="1"/>
        <v>7.5832806716620293E-3</v>
      </c>
      <c r="E127" s="34">
        <v>113.74</v>
      </c>
      <c r="F127" s="34">
        <v>89.68</v>
      </c>
      <c r="G127" s="34">
        <v>113.25</v>
      </c>
      <c r="H127" s="34">
        <v>111.74</v>
      </c>
      <c r="I127" s="34">
        <v>110.86</v>
      </c>
      <c r="J127" s="34">
        <v>101.37</v>
      </c>
      <c r="K127" s="34">
        <v>117.72</v>
      </c>
      <c r="L127" s="34">
        <v>101.81</v>
      </c>
      <c r="M127" s="34">
        <v>129.47</v>
      </c>
      <c r="N127" s="34">
        <v>107.31</v>
      </c>
      <c r="O127" s="34">
        <v>112.07</v>
      </c>
      <c r="P127" s="34">
        <v>121.91</v>
      </c>
      <c r="Q127" s="34">
        <v>106.72</v>
      </c>
    </row>
    <row r="128" spans="1:17" ht="15" customHeight="1" x14ac:dyDescent="0.25">
      <c r="A128" s="32" t="s">
        <v>148</v>
      </c>
      <c r="B128" s="35" t="s">
        <v>173</v>
      </c>
      <c r="C128" s="36">
        <v>111.34</v>
      </c>
      <c r="D128" s="15">
        <f t="shared" si="1"/>
        <v>-2.4191380700653298E-3</v>
      </c>
      <c r="E128" s="36">
        <v>113.67</v>
      </c>
      <c r="F128" s="36">
        <v>89.68</v>
      </c>
      <c r="G128" s="36">
        <v>109.39</v>
      </c>
      <c r="H128" s="36">
        <v>112.34</v>
      </c>
      <c r="I128" s="36">
        <v>111.01</v>
      </c>
      <c r="J128" s="36">
        <v>101.37</v>
      </c>
      <c r="K128" s="36">
        <v>117.69</v>
      </c>
      <c r="L128" s="36">
        <v>101.66</v>
      </c>
      <c r="M128" s="36">
        <v>119.89</v>
      </c>
      <c r="N128" s="36">
        <v>105.03</v>
      </c>
      <c r="O128" s="36">
        <v>110.67</v>
      </c>
      <c r="P128" s="36">
        <v>121.91</v>
      </c>
      <c r="Q128" s="36">
        <v>106.81</v>
      </c>
    </row>
    <row r="129" spans="1:17" ht="15" customHeight="1" x14ac:dyDescent="0.25">
      <c r="A129" s="32" t="s">
        <v>149</v>
      </c>
      <c r="B129" s="33" t="s">
        <v>173</v>
      </c>
      <c r="C129" s="34">
        <v>111.65</v>
      </c>
      <c r="D129" s="15">
        <f t="shared" si="1"/>
        <v>2.7842644153044382E-3</v>
      </c>
      <c r="E129" s="34">
        <v>114.02</v>
      </c>
      <c r="F129" s="34">
        <v>89.1</v>
      </c>
      <c r="G129" s="34">
        <v>109.39</v>
      </c>
      <c r="H129" s="34">
        <v>112.94</v>
      </c>
      <c r="I129" s="34">
        <v>111.06</v>
      </c>
      <c r="J129" s="34">
        <v>101.37</v>
      </c>
      <c r="K129" s="34">
        <v>116.88</v>
      </c>
      <c r="L129" s="34">
        <v>101.7</v>
      </c>
      <c r="M129" s="34">
        <v>128.19999999999999</v>
      </c>
      <c r="N129" s="34">
        <v>105.03</v>
      </c>
      <c r="O129" s="34">
        <v>109.22</v>
      </c>
      <c r="P129" s="34">
        <v>121.02</v>
      </c>
      <c r="Q129" s="34">
        <v>106.8</v>
      </c>
    </row>
    <row r="130" spans="1:17" ht="15" customHeight="1" x14ac:dyDescent="0.25">
      <c r="A130" s="32" t="s">
        <v>150</v>
      </c>
      <c r="B130" s="35" t="s">
        <v>173</v>
      </c>
      <c r="C130" s="36">
        <v>111.56</v>
      </c>
      <c r="D130" s="15">
        <f t="shared" si="1"/>
        <v>-8.0609046126289829E-4</v>
      </c>
      <c r="E130" s="36">
        <v>114.25</v>
      </c>
      <c r="F130" s="36">
        <v>89.1</v>
      </c>
      <c r="G130" s="36">
        <v>109.45</v>
      </c>
      <c r="H130" s="36">
        <v>113.6</v>
      </c>
      <c r="I130" s="36">
        <v>110.91</v>
      </c>
      <c r="J130" s="36">
        <v>103.17</v>
      </c>
      <c r="K130" s="36">
        <v>113.98</v>
      </c>
      <c r="L130" s="36">
        <v>99.78</v>
      </c>
      <c r="M130" s="36">
        <v>128.85</v>
      </c>
      <c r="N130" s="36">
        <v>105.03</v>
      </c>
      <c r="O130" s="36">
        <v>108.43</v>
      </c>
      <c r="P130" s="36">
        <v>121.21</v>
      </c>
      <c r="Q130" s="36">
        <v>107.03</v>
      </c>
    </row>
    <row r="131" spans="1:17" ht="15" customHeight="1" x14ac:dyDescent="0.25">
      <c r="A131" s="32" t="s">
        <v>151</v>
      </c>
      <c r="B131" s="33" t="s">
        <v>173</v>
      </c>
      <c r="C131" s="34">
        <v>112.18</v>
      </c>
      <c r="D131" s="15">
        <f t="shared" si="1"/>
        <v>5.557547508067362E-3</v>
      </c>
      <c r="E131" s="34">
        <v>114.95</v>
      </c>
      <c r="F131" s="34">
        <v>89.1</v>
      </c>
      <c r="G131" s="34">
        <v>109.9</v>
      </c>
      <c r="H131" s="34">
        <v>114.42</v>
      </c>
      <c r="I131" s="34">
        <v>110.91</v>
      </c>
      <c r="J131" s="34">
        <v>103.17</v>
      </c>
      <c r="K131" s="34">
        <v>114.31</v>
      </c>
      <c r="L131" s="34">
        <v>99.78</v>
      </c>
      <c r="M131" s="34">
        <v>134.78</v>
      </c>
      <c r="N131" s="34">
        <v>105.03</v>
      </c>
      <c r="O131" s="34">
        <v>108.29</v>
      </c>
      <c r="P131" s="34">
        <v>122.13</v>
      </c>
      <c r="Q131" s="34">
        <v>107.1</v>
      </c>
    </row>
    <row r="132" spans="1:17" ht="15" customHeight="1" x14ac:dyDescent="0.25">
      <c r="A132" s="32" t="s">
        <v>152</v>
      </c>
      <c r="B132" s="35" t="s">
        <v>173</v>
      </c>
      <c r="C132" s="36">
        <v>112.19</v>
      </c>
      <c r="D132" s="15">
        <f t="shared" si="1"/>
        <v>8.9142449634538323E-5</v>
      </c>
      <c r="E132" s="36">
        <v>114.95</v>
      </c>
      <c r="F132" s="36">
        <v>89.1</v>
      </c>
      <c r="G132" s="36">
        <v>109.9</v>
      </c>
      <c r="H132" s="36">
        <v>115.19</v>
      </c>
      <c r="I132" s="36">
        <v>111.05</v>
      </c>
      <c r="J132" s="36">
        <v>103.16</v>
      </c>
      <c r="K132" s="36">
        <v>110.43</v>
      </c>
      <c r="L132" s="36">
        <v>99.81</v>
      </c>
      <c r="M132" s="36">
        <v>126.73</v>
      </c>
      <c r="N132" s="36">
        <v>105.03</v>
      </c>
      <c r="O132" s="36">
        <v>108.98</v>
      </c>
      <c r="P132" s="36">
        <v>121.78</v>
      </c>
      <c r="Q132" s="36">
        <v>107.42</v>
      </c>
    </row>
    <row r="133" spans="1:17" ht="15" customHeight="1" x14ac:dyDescent="0.25">
      <c r="A133" s="32" t="s">
        <v>153</v>
      </c>
      <c r="B133" s="33" t="s">
        <v>173</v>
      </c>
      <c r="C133" s="34">
        <v>112.37</v>
      </c>
      <c r="D133" s="15">
        <f t="shared" si="1"/>
        <v>1.6044210713967999E-3</v>
      </c>
      <c r="E133" s="34">
        <v>114.77</v>
      </c>
      <c r="F133" s="34">
        <v>89.1</v>
      </c>
      <c r="G133" s="34">
        <v>109.9</v>
      </c>
      <c r="H133" s="34">
        <v>115.99</v>
      </c>
      <c r="I133" s="34">
        <v>111.04</v>
      </c>
      <c r="J133" s="34">
        <v>103.16</v>
      </c>
      <c r="K133" s="34">
        <v>107.3</v>
      </c>
      <c r="L133" s="34">
        <v>99.89</v>
      </c>
      <c r="M133" s="34">
        <v>123.42</v>
      </c>
      <c r="N133" s="34">
        <v>105.03</v>
      </c>
      <c r="O133" s="34">
        <v>112.93</v>
      </c>
      <c r="P133" s="34">
        <v>122.52</v>
      </c>
      <c r="Q133" s="34">
        <v>107.34</v>
      </c>
    </row>
    <row r="134" spans="1:17" ht="15" customHeight="1" x14ac:dyDescent="0.25">
      <c r="A134" s="32" t="s">
        <v>154</v>
      </c>
      <c r="B134" s="35" t="s">
        <v>173</v>
      </c>
      <c r="C134" s="36">
        <v>112.87</v>
      </c>
      <c r="D134" s="15">
        <f t="shared" ref="D134:D147" si="2">C134/C133-1</f>
        <v>4.4495861884845667E-3</v>
      </c>
      <c r="E134" s="36">
        <v>114.16</v>
      </c>
      <c r="F134" s="36">
        <v>89.1</v>
      </c>
      <c r="G134" s="36">
        <v>109.3</v>
      </c>
      <c r="H134" s="36">
        <v>116.7</v>
      </c>
      <c r="I134" s="36">
        <v>111.11</v>
      </c>
      <c r="J134" s="36">
        <v>103.16</v>
      </c>
      <c r="K134" s="36">
        <v>109.36</v>
      </c>
      <c r="L134" s="36">
        <v>99.92</v>
      </c>
      <c r="M134" s="36">
        <v>122.21</v>
      </c>
      <c r="N134" s="36">
        <v>104.44</v>
      </c>
      <c r="O134" s="36">
        <v>114.19</v>
      </c>
      <c r="P134" s="36">
        <v>122.52</v>
      </c>
      <c r="Q134" s="36">
        <v>108.73</v>
      </c>
    </row>
    <row r="135" spans="1:17" ht="15" customHeight="1" x14ac:dyDescent="0.25">
      <c r="A135" s="32" t="s">
        <v>155</v>
      </c>
      <c r="B135" s="33" t="s">
        <v>173</v>
      </c>
      <c r="C135" s="34">
        <v>113.38</v>
      </c>
      <c r="D135" s="15">
        <f t="shared" si="2"/>
        <v>4.5184725790732294E-3</v>
      </c>
      <c r="E135" s="34">
        <v>114.18</v>
      </c>
      <c r="F135" s="34">
        <v>89.51</v>
      </c>
      <c r="G135" s="34">
        <v>109.3</v>
      </c>
      <c r="H135" s="34">
        <v>117.3</v>
      </c>
      <c r="I135" s="34">
        <v>111.08</v>
      </c>
      <c r="J135" s="34">
        <v>103.16</v>
      </c>
      <c r="K135" s="34">
        <v>109.12</v>
      </c>
      <c r="L135" s="34">
        <v>99.79</v>
      </c>
      <c r="M135" s="34">
        <v>135.72</v>
      </c>
      <c r="N135" s="34">
        <v>104.44</v>
      </c>
      <c r="O135" s="34">
        <v>114.25</v>
      </c>
      <c r="P135" s="34">
        <v>122.99</v>
      </c>
      <c r="Q135" s="34">
        <v>107.92</v>
      </c>
    </row>
    <row r="136" spans="1:17" ht="15" customHeight="1" x14ac:dyDescent="0.25">
      <c r="A136" s="32" t="s">
        <v>156</v>
      </c>
      <c r="B136" s="35" t="s">
        <v>173</v>
      </c>
      <c r="C136" s="36">
        <v>113.44</v>
      </c>
      <c r="D136" s="15">
        <f t="shared" si="2"/>
        <v>5.2919386135119595E-4</v>
      </c>
      <c r="E136" s="36">
        <v>113.62</v>
      </c>
      <c r="F136" s="36">
        <v>91.87</v>
      </c>
      <c r="G136" s="36">
        <v>109.56</v>
      </c>
      <c r="H136" s="36">
        <v>118.09</v>
      </c>
      <c r="I136" s="36">
        <v>111.36</v>
      </c>
      <c r="J136" s="36">
        <v>104.43</v>
      </c>
      <c r="K136" s="36">
        <v>107.45</v>
      </c>
      <c r="L136" s="36">
        <v>99.8</v>
      </c>
      <c r="M136" s="36">
        <v>129.86000000000001</v>
      </c>
      <c r="N136" s="36">
        <v>107.32</v>
      </c>
      <c r="O136" s="36">
        <v>114.58</v>
      </c>
      <c r="P136" s="36">
        <v>123.08</v>
      </c>
      <c r="Q136" s="36">
        <v>108.69</v>
      </c>
    </row>
    <row r="137" spans="1:17" ht="15" customHeight="1" x14ac:dyDescent="0.25">
      <c r="A137" s="32" t="s">
        <v>157</v>
      </c>
      <c r="B137" s="33" t="s">
        <v>173</v>
      </c>
      <c r="C137" s="34">
        <v>113.98</v>
      </c>
      <c r="D137" s="15">
        <f t="shared" si="2"/>
        <v>4.7602256699577072E-3</v>
      </c>
      <c r="E137" s="34">
        <v>113.56</v>
      </c>
      <c r="F137" s="34">
        <v>91.58</v>
      </c>
      <c r="G137" s="34">
        <v>110.14</v>
      </c>
      <c r="H137" s="34">
        <v>118.7</v>
      </c>
      <c r="I137" s="34">
        <v>111.4</v>
      </c>
      <c r="J137" s="34">
        <v>104.43</v>
      </c>
      <c r="K137" s="34">
        <v>110.79</v>
      </c>
      <c r="L137" s="34">
        <v>99.73</v>
      </c>
      <c r="M137" s="34">
        <v>127.53</v>
      </c>
      <c r="N137" s="34">
        <v>107.32</v>
      </c>
      <c r="O137" s="34">
        <v>114.42</v>
      </c>
      <c r="P137" s="34">
        <v>123.08</v>
      </c>
      <c r="Q137" s="34">
        <v>109.07</v>
      </c>
    </row>
    <row r="138" spans="1:17" ht="15" customHeight="1" x14ac:dyDescent="0.25">
      <c r="A138" s="32" t="s">
        <v>158</v>
      </c>
      <c r="B138" s="35" t="s">
        <v>173</v>
      </c>
      <c r="C138" s="36">
        <v>113.86</v>
      </c>
      <c r="D138" s="15">
        <f t="shared" si="2"/>
        <v>-1.0528162835585775E-3</v>
      </c>
      <c r="E138" s="36">
        <v>113.07</v>
      </c>
      <c r="F138" s="36">
        <v>91.58</v>
      </c>
      <c r="G138" s="36">
        <v>110.14</v>
      </c>
      <c r="H138" s="36">
        <v>119.16</v>
      </c>
      <c r="I138" s="36">
        <v>111.34</v>
      </c>
      <c r="J138" s="36">
        <v>104.43</v>
      </c>
      <c r="K138" s="36">
        <v>109.91</v>
      </c>
      <c r="L138" s="36">
        <v>99.79</v>
      </c>
      <c r="M138" s="36">
        <v>127.87</v>
      </c>
      <c r="N138" s="36">
        <v>107.32</v>
      </c>
      <c r="O138" s="36">
        <v>111.45</v>
      </c>
      <c r="P138" s="36">
        <v>123.05</v>
      </c>
      <c r="Q138" s="36">
        <v>109.17</v>
      </c>
    </row>
    <row r="139" spans="1:17" ht="15" customHeight="1" x14ac:dyDescent="0.25">
      <c r="A139" s="32" t="s">
        <v>159</v>
      </c>
      <c r="B139" s="33" t="s">
        <v>173</v>
      </c>
      <c r="C139" s="34">
        <v>114.19</v>
      </c>
      <c r="D139" s="15">
        <f t="shared" si="2"/>
        <v>2.8982961531704987E-3</v>
      </c>
      <c r="E139" s="34">
        <v>113.56</v>
      </c>
      <c r="F139" s="34">
        <v>91.58</v>
      </c>
      <c r="G139" s="34">
        <v>110.14</v>
      </c>
      <c r="H139" s="34">
        <v>119.59</v>
      </c>
      <c r="I139" s="34">
        <v>111.48</v>
      </c>
      <c r="J139" s="34">
        <v>104.43</v>
      </c>
      <c r="K139" s="34">
        <v>108.72</v>
      </c>
      <c r="L139" s="34">
        <v>99.84</v>
      </c>
      <c r="M139" s="34">
        <v>131.9</v>
      </c>
      <c r="N139" s="34">
        <v>107.63</v>
      </c>
      <c r="O139" s="34">
        <v>112.7</v>
      </c>
      <c r="P139" s="34">
        <v>123.15</v>
      </c>
      <c r="Q139" s="34">
        <v>109.27</v>
      </c>
    </row>
    <row r="140" spans="1:17" ht="15" customHeight="1" x14ac:dyDescent="0.25">
      <c r="A140" s="32" t="s">
        <v>160</v>
      </c>
      <c r="B140" s="35" t="s">
        <v>173</v>
      </c>
      <c r="C140" s="36">
        <v>113.98</v>
      </c>
      <c r="D140" s="15">
        <f t="shared" si="2"/>
        <v>-1.83904019616421E-3</v>
      </c>
      <c r="E140" s="36">
        <v>114.04</v>
      </c>
      <c r="F140" s="36">
        <v>91.91</v>
      </c>
      <c r="G140" s="36">
        <v>110.34</v>
      </c>
      <c r="H140" s="36">
        <v>120.04</v>
      </c>
      <c r="I140" s="36">
        <v>111.33</v>
      </c>
      <c r="J140" s="36">
        <v>104.43</v>
      </c>
      <c r="K140" s="36">
        <v>107.39</v>
      </c>
      <c r="L140" s="36">
        <v>99.76</v>
      </c>
      <c r="M140" s="36">
        <v>121.98</v>
      </c>
      <c r="N140" s="36">
        <v>107.63</v>
      </c>
      <c r="O140" s="36">
        <v>111.21</v>
      </c>
      <c r="P140" s="36">
        <v>123.15</v>
      </c>
      <c r="Q140" s="36">
        <v>109.31</v>
      </c>
    </row>
    <row r="141" spans="1:17" ht="15" customHeight="1" x14ac:dyDescent="0.25">
      <c r="A141" s="32" t="s">
        <v>161</v>
      </c>
      <c r="B141" s="33" t="s">
        <v>173</v>
      </c>
      <c r="C141" s="34">
        <v>114.3</v>
      </c>
      <c r="D141" s="15">
        <f t="shared" si="2"/>
        <v>2.8075100894893179E-3</v>
      </c>
      <c r="E141" s="34">
        <v>114.71</v>
      </c>
      <c r="F141" s="34">
        <v>91.91</v>
      </c>
      <c r="G141" s="34">
        <v>110.34</v>
      </c>
      <c r="H141" s="34">
        <v>120.42</v>
      </c>
      <c r="I141" s="34">
        <v>111.21</v>
      </c>
      <c r="J141" s="34">
        <v>104.43</v>
      </c>
      <c r="K141" s="34">
        <v>108.26</v>
      </c>
      <c r="L141" s="34">
        <v>99.73</v>
      </c>
      <c r="M141" s="34">
        <v>125.64</v>
      </c>
      <c r="N141" s="34">
        <v>107.63</v>
      </c>
      <c r="O141" s="34">
        <v>109.95</v>
      </c>
      <c r="P141" s="34">
        <v>123.15</v>
      </c>
      <c r="Q141" s="34">
        <v>109.22</v>
      </c>
    </row>
    <row r="142" spans="1:17" ht="15" customHeight="1" x14ac:dyDescent="0.25">
      <c r="A142" s="32" t="s">
        <v>162</v>
      </c>
      <c r="B142" s="35" t="s">
        <v>173</v>
      </c>
      <c r="C142" s="36">
        <v>114.78</v>
      </c>
      <c r="D142" s="15">
        <f t="shared" si="2"/>
        <v>4.1994750656169089E-3</v>
      </c>
      <c r="E142" s="36">
        <v>114.65</v>
      </c>
      <c r="F142" s="36">
        <v>92.35</v>
      </c>
      <c r="G142" s="36">
        <v>110.57</v>
      </c>
      <c r="H142" s="36">
        <v>120.84</v>
      </c>
      <c r="I142" s="36">
        <v>111.52</v>
      </c>
      <c r="J142" s="36">
        <v>104.59</v>
      </c>
      <c r="K142" s="36">
        <v>110.1</v>
      </c>
      <c r="L142" s="36">
        <v>99.86</v>
      </c>
      <c r="M142" s="36">
        <v>131.31</v>
      </c>
      <c r="N142" s="36">
        <v>107.79</v>
      </c>
      <c r="O142" s="36">
        <v>109.14</v>
      </c>
      <c r="P142" s="36">
        <v>123.16</v>
      </c>
      <c r="Q142" s="36">
        <v>109.54</v>
      </c>
    </row>
    <row r="143" spans="1:17" ht="15" customHeight="1" x14ac:dyDescent="0.25">
      <c r="A143" s="32" t="s">
        <v>163</v>
      </c>
      <c r="B143" s="33" t="s">
        <v>173</v>
      </c>
      <c r="C143" s="34">
        <v>114.91</v>
      </c>
      <c r="D143" s="15">
        <f t="shared" si="2"/>
        <v>1.1326014985189037E-3</v>
      </c>
      <c r="E143" s="34">
        <v>114.53</v>
      </c>
      <c r="F143" s="34">
        <v>92.36</v>
      </c>
      <c r="G143" s="34">
        <v>110.32</v>
      </c>
      <c r="H143" s="34">
        <v>121.34</v>
      </c>
      <c r="I143" s="34">
        <v>111.55</v>
      </c>
      <c r="J143" s="34">
        <v>104.59</v>
      </c>
      <c r="K143" s="34">
        <v>110.32</v>
      </c>
      <c r="L143" s="34">
        <v>99.79</v>
      </c>
      <c r="M143" s="34">
        <v>132.41</v>
      </c>
      <c r="N143" s="34">
        <v>107.79</v>
      </c>
      <c r="O143" s="34">
        <v>108.76</v>
      </c>
      <c r="P143" s="34">
        <v>123.16</v>
      </c>
      <c r="Q143" s="34">
        <v>108.27</v>
      </c>
    </row>
    <row r="144" spans="1:17" ht="15" customHeight="1" x14ac:dyDescent="0.25">
      <c r="A144" s="32" t="s">
        <v>164</v>
      </c>
      <c r="B144" s="35" t="s">
        <v>173</v>
      </c>
      <c r="C144" s="36">
        <v>115.42</v>
      </c>
      <c r="D144" s="15">
        <f t="shared" si="2"/>
        <v>4.4382560264555337E-3</v>
      </c>
      <c r="E144" s="36">
        <v>115.13</v>
      </c>
      <c r="F144" s="36">
        <v>92.36</v>
      </c>
      <c r="G144" s="36">
        <v>111</v>
      </c>
      <c r="H144" s="36">
        <v>121.89</v>
      </c>
      <c r="I144" s="36">
        <v>111.76</v>
      </c>
      <c r="J144" s="36">
        <v>104.59</v>
      </c>
      <c r="K144" s="36">
        <v>109.47</v>
      </c>
      <c r="L144" s="36">
        <v>99.84</v>
      </c>
      <c r="M144" s="36">
        <v>131.99</v>
      </c>
      <c r="N144" s="36">
        <v>109.97</v>
      </c>
      <c r="O144" s="36">
        <v>109.89</v>
      </c>
      <c r="P144" s="36">
        <v>123.16</v>
      </c>
      <c r="Q144" s="36">
        <v>108.53</v>
      </c>
    </row>
    <row r="145" spans="1:17" ht="15" customHeight="1" x14ac:dyDescent="0.25">
      <c r="A145" s="32" t="s">
        <v>165</v>
      </c>
      <c r="B145" s="33" t="s">
        <v>173</v>
      </c>
      <c r="C145" s="34">
        <v>116.15</v>
      </c>
      <c r="D145" s="15">
        <f t="shared" si="2"/>
        <v>6.3247270836943592E-3</v>
      </c>
      <c r="E145" s="34">
        <v>115.22</v>
      </c>
      <c r="F145" s="34">
        <v>92.36</v>
      </c>
      <c r="G145" s="34">
        <v>111</v>
      </c>
      <c r="H145" s="34">
        <v>122.41</v>
      </c>
      <c r="I145" s="34">
        <v>111.78</v>
      </c>
      <c r="J145" s="34">
        <v>104.64</v>
      </c>
      <c r="K145" s="34">
        <v>111.76</v>
      </c>
      <c r="L145" s="34">
        <v>99.87</v>
      </c>
      <c r="M145" s="34">
        <v>131.63999999999999</v>
      </c>
      <c r="N145" s="34">
        <v>109.97</v>
      </c>
      <c r="O145" s="34">
        <v>114.57</v>
      </c>
      <c r="P145" s="34">
        <v>123.19</v>
      </c>
      <c r="Q145" s="34">
        <v>108.84</v>
      </c>
    </row>
    <row r="146" spans="1:17" ht="15" customHeight="1" x14ac:dyDescent="0.25">
      <c r="A146" s="32" t="s">
        <v>166</v>
      </c>
      <c r="B146" s="35" t="s">
        <v>173</v>
      </c>
      <c r="C146" s="36">
        <v>115.95</v>
      </c>
      <c r="D146" s="15">
        <f t="shared" si="2"/>
        <v>-1.7219113215669601E-3</v>
      </c>
      <c r="E146" s="36">
        <v>114.97</v>
      </c>
      <c r="F146" s="36">
        <v>92.36</v>
      </c>
      <c r="G146" s="36">
        <v>108.44</v>
      </c>
      <c r="H146" s="36">
        <v>122.87</v>
      </c>
      <c r="I146" s="36">
        <v>111.86</v>
      </c>
      <c r="J146" s="36">
        <v>104.64</v>
      </c>
      <c r="K146" s="36">
        <v>109.61</v>
      </c>
      <c r="L146" s="36">
        <v>99.78</v>
      </c>
      <c r="M146" s="36">
        <v>127.14</v>
      </c>
      <c r="N146" s="36">
        <v>109.97</v>
      </c>
      <c r="O146" s="36">
        <v>115.84</v>
      </c>
      <c r="P146" s="36">
        <v>123.19</v>
      </c>
      <c r="Q146" s="36">
        <v>108.82</v>
      </c>
    </row>
    <row r="147" spans="1:17" ht="15" customHeight="1" x14ac:dyDescent="0.25">
      <c r="A147" s="32" t="s">
        <v>167</v>
      </c>
      <c r="B147" s="33" t="s">
        <v>173</v>
      </c>
      <c r="C147" s="34">
        <v>116.77</v>
      </c>
      <c r="D147" s="15">
        <f t="shared" si="2"/>
        <v>7.0720137990512022E-3</v>
      </c>
      <c r="E147" s="34">
        <v>115.52</v>
      </c>
      <c r="F147" s="34">
        <v>92.36</v>
      </c>
      <c r="G147" s="34">
        <v>108.44</v>
      </c>
      <c r="H147" s="34">
        <v>123.29</v>
      </c>
      <c r="I147" s="34">
        <v>111.92</v>
      </c>
      <c r="J147" s="34">
        <v>104.64</v>
      </c>
      <c r="K147" s="34">
        <v>113.01</v>
      </c>
      <c r="L147" s="34">
        <v>99.8</v>
      </c>
      <c r="M147" s="34">
        <v>138.22</v>
      </c>
      <c r="N147" s="34">
        <v>109.97</v>
      </c>
      <c r="O147" s="34">
        <v>115.9</v>
      </c>
      <c r="P147" s="34">
        <v>123.19</v>
      </c>
      <c r="Q147" s="34">
        <v>108.87</v>
      </c>
    </row>
  </sheetData>
  <autoFilter ref="A3:Q147" xr:uid="{00000000-0009-0000-0000-000000000000}"/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Overnight Visitors</vt:lpstr>
      <vt:lpstr>Population</vt:lpstr>
      <vt:lpstr>Rental Performance Index</vt:lpstr>
      <vt:lpstr>Original CPI 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Mbarak Abubakar</dc:creator>
  <cp:lastModifiedBy>Mbarak Abubakar</cp:lastModifiedBy>
  <dcterms:created xsi:type="dcterms:W3CDTF">2026-02-15T18:48:16Z</dcterms:created>
  <dcterms:modified xsi:type="dcterms:W3CDTF">2026-04-22T21:00:19Z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{9DC79007-2225-4E31-BD8B-BCFF7233F0E3}</vt:lpwstr>
  </property>
</Properties>
</file>